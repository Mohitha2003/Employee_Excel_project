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105983C-C44B-43FE-AC4E-CD8A225736B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2" r:id="rId1"/>
    <sheet name="Employee_Dataset" sheetId="1" r:id="rId2"/>
  </sheets>
  <calcPr calcId="191029"/>
  <pivotCaches>
    <pivotCache cacheId="15" r:id="rId3"/>
  </pivotCaches>
</workbook>
</file>

<file path=xl/calcChain.xml><?xml version="1.0" encoding="utf-8"?>
<calcChain xmlns="http://schemas.openxmlformats.org/spreadsheetml/2006/main">
  <c r="N19" i="1" l="1"/>
  <c r="M7" i="1"/>
  <c r="M5" i="1"/>
  <c r="K975" i="1"/>
  <c r="K3" i="1"/>
  <c r="N10" i="1" l="1"/>
  <c r="N12" i="1" s="1"/>
  <c r="N15" i="1" l="1"/>
</calcChain>
</file>

<file path=xl/sharedStrings.xml><?xml version="1.0" encoding="utf-8"?>
<sst xmlns="http://schemas.openxmlformats.org/spreadsheetml/2006/main" count="5244" uniqueCount="1604">
  <si>
    <t>Emp_ID</t>
  </si>
  <si>
    <t>Employee_Name</t>
  </si>
  <si>
    <t>Department</t>
  </si>
  <si>
    <t>City</t>
  </si>
  <si>
    <t>Salary</t>
  </si>
  <si>
    <t>Joining_Date</t>
  </si>
  <si>
    <t>Gender</t>
  </si>
  <si>
    <t>Age</t>
  </si>
  <si>
    <t>Performance_Rating</t>
  </si>
  <si>
    <t>Riya Naidu</t>
  </si>
  <si>
    <t>Legal</t>
  </si>
  <si>
    <t>Kolkata</t>
  </si>
  <si>
    <t>2017-07-04</t>
  </si>
  <si>
    <t>F</t>
  </si>
  <si>
    <t>Manish Bansal</t>
  </si>
  <si>
    <t>Product</t>
  </si>
  <si>
    <t>Noida</t>
  </si>
  <si>
    <t>2020-09-13</t>
  </si>
  <si>
    <t>Pallavi Reddy</t>
  </si>
  <si>
    <t>Analytics</t>
  </si>
  <si>
    <t>Hyderabad</t>
  </si>
  <si>
    <t>2023-01-29</t>
  </si>
  <si>
    <t>Simran Malhotra</t>
  </si>
  <si>
    <t>2023-05-24</t>
  </si>
  <si>
    <t>M</t>
  </si>
  <si>
    <t>Ira Naidu</t>
  </si>
  <si>
    <t>Marketing</t>
  </si>
  <si>
    <t>Gurgaon</t>
  </si>
  <si>
    <t>2016-11-06</t>
  </si>
  <si>
    <t>Pooja Kulkarni</t>
  </si>
  <si>
    <t>Pune</t>
  </si>
  <si>
    <t>2023-02-14</t>
  </si>
  <si>
    <t>Priya Agarwal</t>
  </si>
  <si>
    <t>2016-12-03</t>
  </si>
  <si>
    <t>2021-09-19</t>
  </si>
  <si>
    <t>Operations</t>
  </si>
  <si>
    <t>Delhi</t>
  </si>
  <si>
    <t>2016-07-23</t>
  </si>
  <si>
    <t>Aarav Menon</t>
  </si>
  <si>
    <t>Customer Support</t>
  </si>
  <si>
    <t>2020-08-17</t>
  </si>
  <si>
    <t>Siddharth Reddy</t>
  </si>
  <si>
    <t>2021-02-18</t>
  </si>
  <si>
    <t>Suresh Kulkarni</t>
  </si>
  <si>
    <t>Finance</t>
  </si>
  <si>
    <t>2020-08-13</t>
  </si>
  <si>
    <t>Suresh Saxena</t>
  </si>
  <si>
    <t>2024-09-21</t>
  </si>
  <si>
    <t>Deepak Kapoor</t>
  </si>
  <si>
    <t>Bangalore</t>
  </si>
  <si>
    <t>2018-02-22</t>
  </si>
  <si>
    <t>Tarun Verma</t>
  </si>
  <si>
    <t>Mumbai</t>
  </si>
  <si>
    <t>2019-05-25</t>
  </si>
  <si>
    <t>Krishna Saxena</t>
  </si>
  <si>
    <t>2022-07-19</t>
  </si>
  <si>
    <t>Rahul Malhotra</t>
  </si>
  <si>
    <t>2018-09-19</t>
  </si>
  <si>
    <t>Diya Mehta</t>
  </si>
  <si>
    <t>2016-09-14</t>
  </si>
  <si>
    <t>Amit Naidu</t>
  </si>
  <si>
    <t>Ahmedabad</t>
  </si>
  <si>
    <t>2018-09-25</t>
  </si>
  <si>
    <t>Sales</t>
  </si>
  <si>
    <t>2023-07-08</t>
  </si>
  <si>
    <t>Yash Sharma</t>
  </si>
  <si>
    <t>2019-05-05</t>
  </si>
  <si>
    <t>Riya Agarwal</t>
  </si>
  <si>
    <t>2023-09-12</t>
  </si>
  <si>
    <t>Anjali Mehta</t>
  </si>
  <si>
    <t>HR</t>
  </si>
  <si>
    <t>2021-07-27</t>
  </si>
  <si>
    <t>2024-07-15</t>
  </si>
  <si>
    <t>2018-11-17</t>
  </si>
  <si>
    <t>Karthik Kapoor</t>
  </si>
  <si>
    <t>2023-02-27</t>
  </si>
  <si>
    <t>Suresh Rao</t>
  </si>
  <si>
    <t>2018-12-24</t>
  </si>
  <si>
    <t>Gaurav Bose</t>
  </si>
  <si>
    <t>IT</t>
  </si>
  <si>
    <t>2019-12-25</t>
  </si>
  <si>
    <t>Aarav Bansal</t>
  </si>
  <si>
    <t>2016-01-26</t>
  </si>
  <si>
    <t>Sneha Verma</t>
  </si>
  <si>
    <t>2016-03-27</t>
  </si>
  <si>
    <t>2024-09-24</t>
  </si>
  <si>
    <t>Rohan Sharma</t>
  </si>
  <si>
    <t>Chennai</t>
  </si>
  <si>
    <t>2016-02-24</t>
  </si>
  <si>
    <t>Sai Agarwal</t>
  </si>
  <si>
    <t>2019-04-02</t>
  </si>
  <si>
    <t>Tarun Bose</t>
  </si>
  <si>
    <t>2016-04-01</t>
  </si>
  <si>
    <t>Tarun Menon</t>
  </si>
  <si>
    <t>2023-03-06</t>
  </si>
  <si>
    <t>2019-08-08</t>
  </si>
  <si>
    <t>Ravi Singh</t>
  </si>
  <si>
    <t>2017-10-20</t>
  </si>
  <si>
    <t>Mahesh Iyer</t>
  </si>
  <si>
    <t>2021-08-20</t>
  </si>
  <si>
    <t>Swati Das</t>
  </si>
  <si>
    <t>2019-08-05</t>
  </si>
  <si>
    <t>Kavya Roy</t>
  </si>
  <si>
    <t>2016-04-07</t>
  </si>
  <si>
    <t>Aditya Reddy</t>
  </si>
  <si>
    <t>2017-01-01</t>
  </si>
  <si>
    <t>Radhika Das</t>
  </si>
  <si>
    <t>2021-07-02</t>
  </si>
  <si>
    <t>Varun Malhotra</t>
  </si>
  <si>
    <t>Ishaan Kulkarni</t>
  </si>
  <si>
    <t>2017-01-19</t>
  </si>
  <si>
    <t>Radhika Gupta</t>
  </si>
  <si>
    <t>2017-12-25</t>
  </si>
  <si>
    <t>Mahesh Pillai</t>
  </si>
  <si>
    <t>2020-10-05</t>
  </si>
  <si>
    <t>2016-01-24</t>
  </si>
  <si>
    <t>Sai Sen</t>
  </si>
  <si>
    <t>2019-07-05</t>
  </si>
  <si>
    <t>Meera Chatterjee</t>
  </si>
  <si>
    <t>2017-12-12</t>
  </si>
  <si>
    <t>Meera Singh</t>
  </si>
  <si>
    <t>2022-05-18</t>
  </si>
  <si>
    <t>Prakash Roy</t>
  </si>
  <si>
    <t>2018-12-23</t>
  </si>
  <si>
    <t>Vihaan Sen</t>
  </si>
  <si>
    <t>2017-05-23</t>
  </si>
  <si>
    <t>Ravi Mehta</t>
  </si>
  <si>
    <t>2019-05-13</t>
  </si>
  <si>
    <t>Arjun Malhotra</t>
  </si>
  <si>
    <t>2018-07-15</t>
  </si>
  <si>
    <t>Ishaan Malhotra</t>
  </si>
  <si>
    <t>2023-01-24</t>
  </si>
  <si>
    <t>Prakash Rao</t>
  </si>
  <si>
    <t>2021-11-20</t>
  </si>
  <si>
    <t>Shreya Rao</t>
  </si>
  <si>
    <t>2021-01-28</t>
  </si>
  <si>
    <t>Deepak Rao</t>
  </si>
  <si>
    <t>2017-05-27</t>
  </si>
  <si>
    <t>Kunal Malhotra</t>
  </si>
  <si>
    <t>2018-12-09</t>
  </si>
  <si>
    <t>Gaurav Dutta</t>
  </si>
  <si>
    <t>2016-07-27</t>
  </si>
  <si>
    <t>Neha Shetty</t>
  </si>
  <si>
    <t>2020-11-21</t>
  </si>
  <si>
    <t>2016-02-28</t>
  </si>
  <si>
    <t>Vihaan Verma</t>
  </si>
  <si>
    <t>2021-01-16</t>
  </si>
  <si>
    <t>Mahesh Verma</t>
  </si>
  <si>
    <t>Amit Pandey</t>
  </si>
  <si>
    <t>2024-04-13</t>
  </si>
  <si>
    <t>2017-02-14</t>
  </si>
  <si>
    <t>Anjali Roy</t>
  </si>
  <si>
    <t>2024-12-28</t>
  </si>
  <si>
    <t>Neha Dutta</t>
  </si>
  <si>
    <t>2016-11-13</t>
  </si>
  <si>
    <t>Ravi Sen</t>
  </si>
  <si>
    <t>2022-04-15</t>
  </si>
  <si>
    <t>Priya Kulkarni</t>
  </si>
  <si>
    <t>2020-07-22</t>
  </si>
  <si>
    <t>Reyansh Mehta</t>
  </si>
  <si>
    <t>2024-09-16</t>
  </si>
  <si>
    <t>Yash Mehta</t>
  </si>
  <si>
    <t>2020-11-12</t>
  </si>
  <si>
    <t>Sneha Joshi</t>
  </si>
  <si>
    <t>2022-10-19</t>
  </si>
  <si>
    <t>Pallavi Rao</t>
  </si>
  <si>
    <t>2021-07-15</t>
  </si>
  <si>
    <t>Meera Verma</t>
  </si>
  <si>
    <t>2018-08-16</t>
  </si>
  <si>
    <t>Aisha Singh</t>
  </si>
  <si>
    <t>2017-04-21</t>
  </si>
  <si>
    <t>2025-01-09</t>
  </si>
  <si>
    <t>Ritesh Naidu</t>
  </si>
  <si>
    <t>2023-03-17</t>
  </si>
  <si>
    <t>Tanvi Mehta</t>
  </si>
  <si>
    <t>2019-08-22</t>
  </si>
  <si>
    <t>Akash Pandey</t>
  </si>
  <si>
    <t>2021-06-08</t>
  </si>
  <si>
    <t>2024-11-03</t>
  </si>
  <si>
    <t>Gaurav Singh</t>
  </si>
  <si>
    <t>2017-02-28</t>
  </si>
  <si>
    <t>Vihaan Menon</t>
  </si>
  <si>
    <t>2022-11-02</t>
  </si>
  <si>
    <t>Amit Iyer</t>
  </si>
  <si>
    <t>2020-06-25</t>
  </si>
  <si>
    <t>Amit Bansal</t>
  </si>
  <si>
    <t>2019-07-02</t>
  </si>
  <si>
    <t>Vihaan Bose</t>
  </si>
  <si>
    <t>2019-01-11</t>
  </si>
  <si>
    <t>Harish Joshi</t>
  </si>
  <si>
    <t>2017-01-21</t>
  </si>
  <si>
    <t>Meera Kulkarni</t>
  </si>
  <si>
    <t>2020-05-02</t>
  </si>
  <si>
    <t>Varun Iyer</t>
  </si>
  <si>
    <t>2016-06-10</t>
  </si>
  <si>
    <t>2019-05-03</t>
  </si>
  <si>
    <t>2019-06-09</t>
  </si>
  <si>
    <t>2022-10-30</t>
  </si>
  <si>
    <t>2021-05-23</t>
  </si>
  <si>
    <t>2021-10-20</t>
  </si>
  <si>
    <t>Pooja Shetty</t>
  </si>
  <si>
    <t>2020-04-03</t>
  </si>
  <si>
    <t>Rohan Mishra</t>
  </si>
  <si>
    <t>2023-01-09</t>
  </si>
  <si>
    <t>Amit Sen</t>
  </si>
  <si>
    <t>2021-12-15</t>
  </si>
  <si>
    <t>Priya Reddy</t>
  </si>
  <si>
    <t>2024-05-16</t>
  </si>
  <si>
    <t>2017-10-25</t>
  </si>
  <si>
    <t>Mahesh Saxena</t>
  </si>
  <si>
    <t>2023-11-19</t>
  </si>
  <si>
    <t>Meera Bansal</t>
  </si>
  <si>
    <t>2020-08-26</t>
  </si>
  <si>
    <t>Reyansh Dutta</t>
  </si>
  <si>
    <t>2018-08-24</t>
  </si>
  <si>
    <t>Rohan Naidu</t>
  </si>
  <si>
    <t>Varun Mishra</t>
  </si>
  <si>
    <t>2025-01-12</t>
  </si>
  <si>
    <t>Manish Bose</t>
  </si>
  <si>
    <t>2016-09-07</t>
  </si>
  <si>
    <t>Reyansh Chatterjee</t>
  </si>
  <si>
    <t>2021-06-28</t>
  </si>
  <si>
    <t>2018-07-27</t>
  </si>
  <si>
    <t>Prakash Menon</t>
  </si>
  <si>
    <t>2019-04-20</t>
  </si>
  <si>
    <t>Arjun Mishra</t>
  </si>
  <si>
    <t>2017-04-02</t>
  </si>
  <si>
    <t>Divya Das</t>
  </si>
  <si>
    <t>2019-04-22</t>
  </si>
  <si>
    <t>Varun Verma</t>
  </si>
  <si>
    <t>2024-07-28</t>
  </si>
  <si>
    <t>Priya Nair</t>
  </si>
  <si>
    <t>2016-12-06</t>
  </si>
  <si>
    <t>Ritesh Dutta</t>
  </si>
  <si>
    <t>2023-06-21</t>
  </si>
  <si>
    <t>Deepak Mehta</t>
  </si>
  <si>
    <t>2019-06-14</t>
  </si>
  <si>
    <t>Rohan Reddy</t>
  </si>
  <si>
    <t>2021-11-16</t>
  </si>
  <si>
    <t>Riya Mehta</t>
  </si>
  <si>
    <t>2018-08-18</t>
  </si>
  <si>
    <t>Tanvi Kapoor</t>
  </si>
  <si>
    <t>2021-02-04</t>
  </si>
  <si>
    <t>Karthik Mishra</t>
  </si>
  <si>
    <t>2021-03-31</t>
  </si>
  <si>
    <t>2018-05-30</t>
  </si>
  <si>
    <t>Harish Singh</t>
  </si>
  <si>
    <t>2020-12-20</t>
  </si>
  <si>
    <t>2018-12-10</t>
  </si>
  <si>
    <t>Reyansh Bansal</t>
  </si>
  <si>
    <t>2021-06-26</t>
  </si>
  <si>
    <t>Meera Malhotra</t>
  </si>
  <si>
    <t>2016-01-31</t>
  </si>
  <si>
    <t>Tarun Mishra</t>
  </si>
  <si>
    <t>2022-04-05</t>
  </si>
  <si>
    <t>Diya Menon</t>
  </si>
  <si>
    <t>2021-10-14</t>
  </si>
  <si>
    <t>2018-09-29</t>
  </si>
  <si>
    <t>Krishna Agarwal</t>
  </si>
  <si>
    <t>2021-01-06</t>
  </si>
  <si>
    <t>Karthik Gupta</t>
  </si>
  <si>
    <t>2023-03-22</t>
  </si>
  <si>
    <t>Priya Roy</t>
  </si>
  <si>
    <t>2022-09-20</t>
  </si>
  <si>
    <t>Rohan Dutta</t>
  </si>
  <si>
    <t>2022-12-22</t>
  </si>
  <si>
    <t>2024-08-03</t>
  </si>
  <si>
    <t>Harish Malhotra</t>
  </si>
  <si>
    <t>2023-06-20</t>
  </si>
  <si>
    <t>Priya Mehta</t>
  </si>
  <si>
    <t>2016-01-23</t>
  </si>
  <si>
    <t>Sneha Pandey</t>
  </si>
  <si>
    <t>2017-06-22</t>
  </si>
  <si>
    <t>2023-09-26</t>
  </si>
  <si>
    <t>Tarun Malhotra</t>
  </si>
  <si>
    <t>2023-03-21</t>
  </si>
  <si>
    <t>Prakash Chatterjee</t>
  </si>
  <si>
    <t>2022-06-18</t>
  </si>
  <si>
    <t>Neha Gupta</t>
  </si>
  <si>
    <t>2022-11-11</t>
  </si>
  <si>
    <t>Akash Bose</t>
  </si>
  <si>
    <t>2019-01-07</t>
  </si>
  <si>
    <t>Meera Nair</t>
  </si>
  <si>
    <t>2021-01-17</t>
  </si>
  <si>
    <t>2022-07-10</t>
  </si>
  <si>
    <t>Gaurav Nair</t>
  </si>
  <si>
    <t>2020-11-15</t>
  </si>
  <si>
    <t>Gaurav Joshi</t>
  </si>
  <si>
    <t>2016-10-04</t>
  </si>
  <si>
    <t>Nikhil Menon</t>
  </si>
  <si>
    <t>2024-11-12</t>
  </si>
  <si>
    <t>Nisha Kulkarni</t>
  </si>
  <si>
    <t>2018-08-25</t>
  </si>
  <si>
    <t>Deepak Agarwal</t>
  </si>
  <si>
    <t>2021-06-16</t>
  </si>
  <si>
    <t>Akash Shetty</t>
  </si>
  <si>
    <t>2024-09-19</t>
  </si>
  <si>
    <t>Diya Bose</t>
  </si>
  <si>
    <t>2024-09-03</t>
  </si>
  <si>
    <t>2016-06-12</t>
  </si>
  <si>
    <t>Vihaan Pillai</t>
  </si>
  <si>
    <t>2018-04-19</t>
  </si>
  <si>
    <t>Diya Singh</t>
  </si>
  <si>
    <t>2016-10-31</t>
  </si>
  <si>
    <t>Ira Sen</t>
  </si>
  <si>
    <t>2017-12-20</t>
  </si>
  <si>
    <t>Manish Pillai</t>
  </si>
  <si>
    <t>2023-02-08</t>
  </si>
  <si>
    <t>Sneha Patel</t>
  </si>
  <si>
    <t>2019-09-09</t>
  </si>
  <si>
    <t>Nikhil Kapoor</t>
  </si>
  <si>
    <t>2023-03-01</t>
  </si>
  <si>
    <t>Pooja Das</t>
  </si>
  <si>
    <t>2020-03-12</t>
  </si>
  <si>
    <t>Prakash Pillai</t>
  </si>
  <si>
    <t>2021-09-20</t>
  </si>
  <si>
    <t>2020-06-04</t>
  </si>
  <si>
    <t>Rohan Iyer</t>
  </si>
  <si>
    <t>2024-05-31</t>
  </si>
  <si>
    <t>Ishaan Das</t>
  </si>
  <si>
    <t>2018-01-21</t>
  </si>
  <si>
    <t>Kavya Das</t>
  </si>
  <si>
    <t>2021-02-12</t>
  </si>
  <si>
    <t>Varun Saxena</t>
  </si>
  <si>
    <t>2022-06-14</t>
  </si>
  <si>
    <t>Ananya Kapoor</t>
  </si>
  <si>
    <t>2021-04-10</t>
  </si>
  <si>
    <t>Ishaan Singh</t>
  </si>
  <si>
    <t>2017-02-06</t>
  </si>
  <si>
    <t>Vivaan Pillai</t>
  </si>
  <si>
    <t>2016-01-15</t>
  </si>
  <si>
    <t>2021-04-26</t>
  </si>
  <si>
    <t>Ira Iyer</t>
  </si>
  <si>
    <t>2022-01-24</t>
  </si>
  <si>
    <t>Siddharth Shetty</t>
  </si>
  <si>
    <t>2024-07-24</t>
  </si>
  <si>
    <t>Nisha Shetty</t>
  </si>
  <si>
    <t>2017-08-20</t>
  </si>
  <si>
    <t>Diya Gupta</t>
  </si>
  <si>
    <t>2022-10-31</t>
  </si>
  <si>
    <t>2022-09-07</t>
  </si>
  <si>
    <t>Radhika Naidu</t>
  </si>
  <si>
    <t>2016-06-14</t>
  </si>
  <si>
    <t>Siddharth Naidu</t>
  </si>
  <si>
    <t>2019-12-06</t>
  </si>
  <si>
    <t>Rohan Das</t>
  </si>
  <si>
    <t>2018-04-10</t>
  </si>
  <si>
    <t>Arjun Yadav</t>
  </si>
  <si>
    <t>2019-09-02</t>
  </si>
  <si>
    <t>Aarav Pandey</t>
  </si>
  <si>
    <t>2019-04-15</t>
  </si>
  <si>
    <t>Sneha Sharma</t>
  </si>
  <si>
    <t>2017-11-14</t>
  </si>
  <si>
    <t>Krishna Naidu</t>
  </si>
  <si>
    <t>2016-11-04</t>
  </si>
  <si>
    <t>Kunal Sen</t>
  </si>
  <si>
    <t>2021-10-16</t>
  </si>
  <si>
    <t>2018-05-29</t>
  </si>
  <si>
    <t>Rohan Shetty</t>
  </si>
  <si>
    <t>2019-06-20</t>
  </si>
  <si>
    <t>Vivaan Gupta</t>
  </si>
  <si>
    <t>2020-12-17</t>
  </si>
  <si>
    <t>Amit Agarwal</t>
  </si>
  <si>
    <t>2019-07-20</t>
  </si>
  <si>
    <t>Krishna Chatterjee</t>
  </si>
  <si>
    <t>2016-07-06</t>
  </si>
  <si>
    <t>Ira Mehta</t>
  </si>
  <si>
    <t>2021-09-27</t>
  </si>
  <si>
    <t>Kavya Naidu</t>
  </si>
  <si>
    <t>2018-01-16</t>
  </si>
  <si>
    <t>2021-08-24</t>
  </si>
  <si>
    <t>Karthik Patel</t>
  </si>
  <si>
    <t>2017-04-18</t>
  </si>
  <si>
    <t>Mahesh Reddy</t>
  </si>
  <si>
    <t>2023-08-24</t>
  </si>
  <si>
    <t>Arjun Pandey</t>
  </si>
  <si>
    <t>2020-03-30</t>
  </si>
  <si>
    <t>Meera Joshi</t>
  </si>
  <si>
    <t>2020-02-14</t>
  </si>
  <si>
    <t>Akash Yadav</t>
  </si>
  <si>
    <t>2017-03-25</t>
  </si>
  <si>
    <t>Pallavi Malhotra</t>
  </si>
  <si>
    <t>2017-04-23</t>
  </si>
  <si>
    <t>Ira Reddy</t>
  </si>
  <si>
    <t>2020-05-18</t>
  </si>
  <si>
    <t>Aarav Nair</t>
  </si>
  <si>
    <t>2023-07-24</t>
  </si>
  <si>
    <t>Tanvi Bose</t>
  </si>
  <si>
    <t>2019-07-10</t>
  </si>
  <si>
    <t>2016-12-07</t>
  </si>
  <si>
    <t>Priya Das</t>
  </si>
  <si>
    <t>2016-07-21</t>
  </si>
  <si>
    <t>Ananya Iyer</t>
  </si>
  <si>
    <t>2024-01-03</t>
  </si>
  <si>
    <t>2023-11-02</t>
  </si>
  <si>
    <t>Nisha Yadav</t>
  </si>
  <si>
    <t>2021-08-21</t>
  </si>
  <si>
    <t>Pallavi Gupta</t>
  </si>
  <si>
    <t>2023-04-02</t>
  </si>
  <si>
    <t>Nisha Sharma</t>
  </si>
  <si>
    <t>2019-03-23</t>
  </si>
  <si>
    <t>Manish Rao</t>
  </si>
  <si>
    <t>2018-11-08</t>
  </si>
  <si>
    <t>Neha Patel</t>
  </si>
  <si>
    <t>2016-05-23</t>
  </si>
  <si>
    <t>2022-06-25</t>
  </si>
  <si>
    <t>2018-04-07</t>
  </si>
  <si>
    <t>Varun Joshi</t>
  </si>
  <si>
    <t>2022-09-05</t>
  </si>
  <si>
    <t>Aarav Reddy</t>
  </si>
  <si>
    <t>2024-06-01</t>
  </si>
  <si>
    <t>Nikhil Yadav</t>
  </si>
  <si>
    <t>2020-02-04</t>
  </si>
  <si>
    <t>Kunal Yadav</t>
  </si>
  <si>
    <t>2022-07-22</t>
  </si>
  <si>
    <t>2023-07-27</t>
  </si>
  <si>
    <t>Ritesh Sen</t>
  </si>
  <si>
    <t>Reyansh Reddy</t>
  </si>
  <si>
    <t>2021-12-20</t>
  </si>
  <si>
    <t>Aisha Saxena</t>
  </si>
  <si>
    <t>2016-02-13</t>
  </si>
  <si>
    <t>Kavya Nair</t>
  </si>
  <si>
    <t>2016-10-08</t>
  </si>
  <si>
    <t>Suresh Das</t>
  </si>
  <si>
    <t>2022-10-01</t>
  </si>
  <si>
    <t>2024-09-23</t>
  </si>
  <si>
    <t>2018-03-05</t>
  </si>
  <si>
    <t>Yash Reddy</t>
  </si>
  <si>
    <t>2024-05-28</t>
  </si>
  <si>
    <t>2016-10-10</t>
  </si>
  <si>
    <t>Ananya Sen</t>
  </si>
  <si>
    <t>2016-03-19</t>
  </si>
  <si>
    <t>Suresh Bansal</t>
  </si>
  <si>
    <t>2016-03-01</t>
  </si>
  <si>
    <t>Tarun Das</t>
  </si>
  <si>
    <t>2018-10-11</t>
  </si>
  <si>
    <t>2023-02-26</t>
  </si>
  <si>
    <t>Ritesh Patel</t>
  </si>
  <si>
    <t>2023-01-04</t>
  </si>
  <si>
    <t>Suresh Mishra</t>
  </si>
  <si>
    <t>2023-07-01</t>
  </si>
  <si>
    <t>Vihaan Shetty</t>
  </si>
  <si>
    <t>2022-10-17</t>
  </si>
  <si>
    <t>Arjun Iyer</t>
  </si>
  <si>
    <t>2017-08-06</t>
  </si>
  <si>
    <t>2022-11-19</t>
  </si>
  <si>
    <t>Sneha Saxena</t>
  </si>
  <si>
    <t>2018-11-13</t>
  </si>
  <si>
    <t>2019-01-25</t>
  </si>
  <si>
    <t>Swati Pandey</t>
  </si>
  <si>
    <t>2019-10-11</t>
  </si>
  <si>
    <t>Siddharth Mehta</t>
  </si>
  <si>
    <t>2021-07-08</t>
  </si>
  <si>
    <t>Ritesh Mehta</t>
  </si>
  <si>
    <t>2022-05-13</t>
  </si>
  <si>
    <t>Ira Dutta</t>
  </si>
  <si>
    <t>2017-12-30</t>
  </si>
  <si>
    <t>Shreya Pillai</t>
  </si>
  <si>
    <t>2016-11-18</t>
  </si>
  <si>
    <t>Sneha Mishra</t>
  </si>
  <si>
    <t>2024-09-18</t>
  </si>
  <si>
    <t>2016-04-27</t>
  </si>
  <si>
    <t>Vivaan Singh</t>
  </si>
  <si>
    <t>2022-10-08</t>
  </si>
  <si>
    <t>Aisha Sen</t>
  </si>
  <si>
    <t>2018-02-08</t>
  </si>
  <si>
    <t>Manish Dutta</t>
  </si>
  <si>
    <t>2021-07-19</t>
  </si>
  <si>
    <t>Nisha Malhotra</t>
  </si>
  <si>
    <t>2024-08-02</t>
  </si>
  <si>
    <t>Kunal Gupta</t>
  </si>
  <si>
    <t>2024-10-08</t>
  </si>
  <si>
    <t>Ravi Rao</t>
  </si>
  <si>
    <t>2017-11-10</t>
  </si>
  <si>
    <t>Anjali Dutta</t>
  </si>
  <si>
    <t>2022-03-31</t>
  </si>
  <si>
    <t>Prakash Iyer</t>
  </si>
  <si>
    <t>2017-07-10</t>
  </si>
  <si>
    <t>Ira Chatterjee</t>
  </si>
  <si>
    <t>2020-08-20</t>
  </si>
  <si>
    <t>Deepak Chatterjee</t>
  </si>
  <si>
    <t>2019-05-12</t>
  </si>
  <si>
    <t>Tanvi Roy</t>
  </si>
  <si>
    <t>2020-10-15</t>
  </si>
  <si>
    <t>Aditya Malhotra</t>
  </si>
  <si>
    <t>2018-08-13</t>
  </si>
  <si>
    <t>Meera Agarwal</t>
  </si>
  <si>
    <t>2022-02-04</t>
  </si>
  <si>
    <t>Meera Roy</t>
  </si>
  <si>
    <t>2017-08-22</t>
  </si>
  <si>
    <t>Ishaan Reddy</t>
  </si>
  <si>
    <t>2017-12-22</t>
  </si>
  <si>
    <t>Swati Bansal</t>
  </si>
  <si>
    <t>2021-11-17</t>
  </si>
  <si>
    <t>2022-07-01</t>
  </si>
  <si>
    <t>2025-01-10</t>
  </si>
  <si>
    <t>Reyansh Kapoor</t>
  </si>
  <si>
    <t>2020-09-04</t>
  </si>
  <si>
    <t>2017-03-10</t>
  </si>
  <si>
    <t>2023-12-22</t>
  </si>
  <si>
    <t>Nikhil Chatterjee</t>
  </si>
  <si>
    <t>2022-02-27</t>
  </si>
  <si>
    <t>Riya Iyer</t>
  </si>
  <si>
    <t>2016-07-24</t>
  </si>
  <si>
    <t>Neha Joshi</t>
  </si>
  <si>
    <t>2021-12-06</t>
  </si>
  <si>
    <t>Rahul Kulkarni</t>
  </si>
  <si>
    <t>2022-09-21</t>
  </si>
  <si>
    <t>Riya Roy</t>
  </si>
  <si>
    <t>2022-09-18</t>
  </si>
  <si>
    <t>2021-10-05</t>
  </si>
  <si>
    <t>Arjun Shetty</t>
  </si>
  <si>
    <t>2023-05-31</t>
  </si>
  <si>
    <t>Radhika Patel</t>
  </si>
  <si>
    <t>2021-07-14</t>
  </si>
  <si>
    <t>Nikhil Mehta</t>
  </si>
  <si>
    <t>2018-04-22</t>
  </si>
  <si>
    <t>2020-01-06</t>
  </si>
  <si>
    <t>2021-03-14</t>
  </si>
  <si>
    <t>Deepak Yadav</t>
  </si>
  <si>
    <t>2016-05-04</t>
  </si>
  <si>
    <t>Neha Saxena</t>
  </si>
  <si>
    <t>2023-10-09</t>
  </si>
  <si>
    <t>2018-05-28</t>
  </si>
  <si>
    <t>Sai Menon</t>
  </si>
  <si>
    <t>2024-11-15</t>
  </si>
  <si>
    <t>Ira Singh</t>
  </si>
  <si>
    <t>2019-02-03</t>
  </si>
  <si>
    <t>Karthik Joshi</t>
  </si>
  <si>
    <t>2023-09-24</t>
  </si>
  <si>
    <t>Tarun Kapoor</t>
  </si>
  <si>
    <t>2017-01-09</t>
  </si>
  <si>
    <t>Krishna Iyer</t>
  </si>
  <si>
    <t>2018-10-15</t>
  </si>
  <si>
    <t>Simran Roy</t>
  </si>
  <si>
    <t>2017-04-14</t>
  </si>
  <si>
    <t>2020-04-14</t>
  </si>
  <si>
    <t>Pallavi Agarwal</t>
  </si>
  <si>
    <t>2023-05-09</t>
  </si>
  <si>
    <t>2023-07-02</t>
  </si>
  <si>
    <t>2020-09-02</t>
  </si>
  <si>
    <t>2016-03-26</t>
  </si>
  <si>
    <t>Ananya Menon</t>
  </si>
  <si>
    <t>Divya Sen</t>
  </si>
  <si>
    <t>2017-08-29</t>
  </si>
  <si>
    <t>Nisha Dutta</t>
  </si>
  <si>
    <t>2017-04-28</t>
  </si>
  <si>
    <t>Divya Kapoor</t>
  </si>
  <si>
    <t>2023-04-13</t>
  </si>
  <si>
    <t>2023-05-12</t>
  </si>
  <si>
    <t>Simran Nair</t>
  </si>
  <si>
    <t>2022-06-22</t>
  </si>
  <si>
    <t>Priya Sen</t>
  </si>
  <si>
    <t>2022-09-17</t>
  </si>
  <si>
    <t>Reyansh Mishra</t>
  </si>
  <si>
    <t>2023-06-22</t>
  </si>
  <si>
    <t>Riya Rao</t>
  </si>
  <si>
    <t>2023-05-13</t>
  </si>
  <si>
    <t>Aarav Malhotra</t>
  </si>
  <si>
    <t>Varun Mehta</t>
  </si>
  <si>
    <t>2017-03-13</t>
  </si>
  <si>
    <t>2019-11-04</t>
  </si>
  <si>
    <t>Arjun Patel</t>
  </si>
  <si>
    <t>2017-11-01</t>
  </si>
  <si>
    <t>Neha Nair</t>
  </si>
  <si>
    <t>2023-04-03</t>
  </si>
  <si>
    <t>Neha Yadav</t>
  </si>
  <si>
    <t>2021-01-13</t>
  </si>
  <si>
    <t>2018-03-13</t>
  </si>
  <si>
    <t>Vivaan Kapoor</t>
  </si>
  <si>
    <t>2020-06-05</t>
  </si>
  <si>
    <t>Yash Bose</t>
  </si>
  <si>
    <t>2024-10-25</t>
  </si>
  <si>
    <t>2020-05-05</t>
  </si>
  <si>
    <t>2019-11-17</t>
  </si>
  <si>
    <t>Varun Rao</t>
  </si>
  <si>
    <t>2024-10-16</t>
  </si>
  <si>
    <t>Sneha Rao</t>
  </si>
  <si>
    <t>2022-06-19</t>
  </si>
  <si>
    <t>Kunal Pandey</t>
  </si>
  <si>
    <t>2019-03-14</t>
  </si>
  <si>
    <t>Radhika Mehta</t>
  </si>
  <si>
    <t>2019-05-24</t>
  </si>
  <si>
    <t>Radhika Kulkarni</t>
  </si>
  <si>
    <t>2018-04-16</t>
  </si>
  <si>
    <t>2017-03-06</t>
  </si>
  <si>
    <t>Aarav Yadav</t>
  </si>
  <si>
    <t>2021-06-14</t>
  </si>
  <si>
    <t>2017-02-03</t>
  </si>
  <si>
    <t>Ananya Chatterjee</t>
  </si>
  <si>
    <t>2019-05-11</t>
  </si>
  <si>
    <t>2023-07-17</t>
  </si>
  <si>
    <t>2016-08-21</t>
  </si>
  <si>
    <t>Aditya Chatterjee</t>
  </si>
  <si>
    <t>2020-02-10</t>
  </si>
  <si>
    <t>Prakash Saxena</t>
  </si>
  <si>
    <t>2018-12-18</t>
  </si>
  <si>
    <t>Arjun Chatterjee</t>
  </si>
  <si>
    <t>2016-03-13</t>
  </si>
  <si>
    <t>Diya Sharma</t>
  </si>
  <si>
    <t>2022-12-21</t>
  </si>
  <si>
    <t>Simran Reddy</t>
  </si>
  <si>
    <t>Anjali Iyer</t>
  </si>
  <si>
    <t>2020-12-07</t>
  </si>
  <si>
    <t>Aisha Mehta</t>
  </si>
  <si>
    <t>2024-05-13</t>
  </si>
  <si>
    <t>2022-09-06</t>
  </si>
  <si>
    <t>Yash Saxena</t>
  </si>
  <si>
    <t>Siddharth Roy</t>
  </si>
  <si>
    <t>2020-03-13</t>
  </si>
  <si>
    <t>Yash Naidu</t>
  </si>
  <si>
    <t>2020-11-18</t>
  </si>
  <si>
    <t>Riya Kulkarni</t>
  </si>
  <si>
    <t>2016-08-19</t>
  </si>
  <si>
    <t>Ananya Nair</t>
  </si>
  <si>
    <t>2023-06-15</t>
  </si>
  <si>
    <t>Harish Menon</t>
  </si>
  <si>
    <t>2019-08-18</t>
  </si>
  <si>
    <t>Ishaan Shetty</t>
  </si>
  <si>
    <t>2022-08-12</t>
  </si>
  <si>
    <t>Priya Mishra</t>
  </si>
  <si>
    <t>2021-06-05</t>
  </si>
  <si>
    <t>Priya Menon</t>
  </si>
  <si>
    <t>2022-07-13</t>
  </si>
  <si>
    <t>Gaurav Chatterjee</t>
  </si>
  <si>
    <t>2023-04-21</t>
  </si>
  <si>
    <t>2019-01-06</t>
  </si>
  <si>
    <t>2024-05-14</t>
  </si>
  <si>
    <t>Ravi Sharma</t>
  </si>
  <si>
    <t>2021-01-27</t>
  </si>
  <si>
    <t>Akash Dutta</t>
  </si>
  <si>
    <t>2019-09-21</t>
  </si>
  <si>
    <t>Meera Rao</t>
  </si>
  <si>
    <t>2017-01-07</t>
  </si>
  <si>
    <t>Anjali Das</t>
  </si>
  <si>
    <t>2016-06-03</t>
  </si>
  <si>
    <t>2018-11-03</t>
  </si>
  <si>
    <t>Kavya Agarwal</t>
  </si>
  <si>
    <t>2021-05-07</t>
  </si>
  <si>
    <t>Ananya Mehta</t>
  </si>
  <si>
    <t>2018-07-25</t>
  </si>
  <si>
    <t>Shreya Dutta</t>
  </si>
  <si>
    <t>Rajat Kulkarni</t>
  </si>
  <si>
    <t>2017-06-19</t>
  </si>
  <si>
    <t>Yash Nair</t>
  </si>
  <si>
    <t>2022-12-05</t>
  </si>
  <si>
    <t>2024-01-21</t>
  </si>
  <si>
    <t>2019-11-27</t>
  </si>
  <si>
    <t>Divya Reddy</t>
  </si>
  <si>
    <t>2016-05-10</t>
  </si>
  <si>
    <t>2023-05-27</t>
  </si>
  <si>
    <t>Shreya Saxena</t>
  </si>
  <si>
    <t>2020-09-30</t>
  </si>
  <si>
    <t>Karthik Nair</t>
  </si>
  <si>
    <t>2023-09-17</t>
  </si>
  <si>
    <t>Radhika Rao</t>
  </si>
  <si>
    <t>2020-09-07</t>
  </si>
  <si>
    <t>2023-03-07</t>
  </si>
  <si>
    <t>Deepak Shetty</t>
  </si>
  <si>
    <t>2018-01-22</t>
  </si>
  <si>
    <t>Suresh Sharma</t>
  </si>
  <si>
    <t>2022-07-29</t>
  </si>
  <si>
    <t>Riya Gupta</t>
  </si>
  <si>
    <t>2021-07-25</t>
  </si>
  <si>
    <t>Diya Joshi</t>
  </si>
  <si>
    <t>2025-01-06</t>
  </si>
  <si>
    <t>2019-08-15</t>
  </si>
  <si>
    <t>Suresh Joshi</t>
  </si>
  <si>
    <t>2019-08-21</t>
  </si>
  <si>
    <t>Radhika Bansal</t>
  </si>
  <si>
    <t>2023-10-27</t>
  </si>
  <si>
    <t>Diya Iyer</t>
  </si>
  <si>
    <t>2018-08-31</t>
  </si>
  <si>
    <t>Swati Iyer</t>
  </si>
  <si>
    <t>2016-03-31</t>
  </si>
  <si>
    <t>Swati Rao</t>
  </si>
  <si>
    <t>2021-03-24</t>
  </si>
  <si>
    <t>Pooja Rao</t>
  </si>
  <si>
    <t>2016-01-02</t>
  </si>
  <si>
    <t>Anjali Pandey</t>
  </si>
  <si>
    <t>2017-08-05</t>
  </si>
  <si>
    <t>Aisha Joshi</t>
  </si>
  <si>
    <t>2018-01-09</t>
  </si>
  <si>
    <t>Aditya Pillai</t>
  </si>
  <si>
    <t>2020-06-16</t>
  </si>
  <si>
    <t>Reyansh Roy</t>
  </si>
  <si>
    <t>2020-02-28</t>
  </si>
  <si>
    <t>Rajat Mishra</t>
  </si>
  <si>
    <t>2019-07-16</t>
  </si>
  <si>
    <t>Harish Pillai</t>
  </si>
  <si>
    <t>2024-04-19</t>
  </si>
  <si>
    <t>Nikhil Sharma</t>
  </si>
  <si>
    <t>2021-08-19</t>
  </si>
  <si>
    <t>2020-12-25</t>
  </si>
  <si>
    <t>Arjun Mehta</t>
  </si>
  <si>
    <t>2019-10-01</t>
  </si>
  <si>
    <t>2020-09-22</t>
  </si>
  <si>
    <t>Ritesh Kulkarni</t>
  </si>
  <si>
    <t>2024-07-17</t>
  </si>
  <si>
    <t>Manish Sen</t>
  </si>
  <si>
    <t>2016-09-08</t>
  </si>
  <si>
    <t>Prakash Patel</t>
  </si>
  <si>
    <t>Reyansh Patel</t>
  </si>
  <si>
    <t>2022-08-20</t>
  </si>
  <si>
    <t>Radhika Bose</t>
  </si>
  <si>
    <t>2023-12-25</t>
  </si>
  <si>
    <t>Ritesh Kapoor</t>
  </si>
  <si>
    <t>2025-01-08</t>
  </si>
  <si>
    <t>Rajat Nair</t>
  </si>
  <si>
    <t>2016-03-10</t>
  </si>
  <si>
    <t>Arjun Reddy</t>
  </si>
  <si>
    <t>2021-12-13</t>
  </si>
  <si>
    <t>Gaurav Malhotra</t>
  </si>
  <si>
    <t>2022-11-16</t>
  </si>
  <si>
    <t>Gaurav Naidu</t>
  </si>
  <si>
    <t>2023-10-22</t>
  </si>
  <si>
    <t>Rajat Yadav</t>
  </si>
  <si>
    <t>2023-02-25</t>
  </si>
  <si>
    <t>2022-02-25</t>
  </si>
  <si>
    <t>2019-05-08</t>
  </si>
  <si>
    <t>Sneha Dutta</t>
  </si>
  <si>
    <t>2022-12-24</t>
  </si>
  <si>
    <t>Vihaan Pandey</t>
  </si>
  <si>
    <t>2016-10-09</t>
  </si>
  <si>
    <t>2017-08-14</t>
  </si>
  <si>
    <t>2017-02-10</t>
  </si>
  <si>
    <t>2019-01-02</t>
  </si>
  <si>
    <t>Diya Malhotra</t>
  </si>
  <si>
    <t>2020-10-08</t>
  </si>
  <si>
    <t>Pooja Nair</t>
  </si>
  <si>
    <t>2024-04-08</t>
  </si>
  <si>
    <t>Kunal Verma</t>
  </si>
  <si>
    <t>2018-04-13</t>
  </si>
  <si>
    <t>2023-03-13</t>
  </si>
  <si>
    <t>Mahesh Patel</t>
  </si>
  <si>
    <t>2024-08-04</t>
  </si>
  <si>
    <t>Deepak Nair</t>
  </si>
  <si>
    <t>2021-03-26</t>
  </si>
  <si>
    <t>2022-09-04</t>
  </si>
  <si>
    <t>Rohan Bose</t>
  </si>
  <si>
    <t>2018-01-05</t>
  </si>
  <si>
    <t>Prakash Agarwal</t>
  </si>
  <si>
    <t>2022-09-30</t>
  </si>
  <si>
    <t>2016-05-02</t>
  </si>
  <si>
    <t>Neha Bose</t>
  </si>
  <si>
    <t>2021-09-24</t>
  </si>
  <si>
    <t>2023-11-10</t>
  </si>
  <si>
    <t>Neha Malhotra</t>
  </si>
  <si>
    <t>2017-06-18</t>
  </si>
  <si>
    <t>Aditya Singh</t>
  </si>
  <si>
    <t>2018-05-03</t>
  </si>
  <si>
    <t>2021-04-02</t>
  </si>
  <si>
    <t>2021-12-01</t>
  </si>
  <si>
    <t>Harish Bose</t>
  </si>
  <si>
    <t>2020-09-14</t>
  </si>
  <si>
    <t>Karthik Naidu</t>
  </si>
  <si>
    <t>2017-12-16</t>
  </si>
  <si>
    <t>Arjun Sharma</t>
  </si>
  <si>
    <t>2016-07-12</t>
  </si>
  <si>
    <t>Suresh Malhotra</t>
  </si>
  <si>
    <t>2020-02-21</t>
  </si>
  <si>
    <t>Pallavi Sharma</t>
  </si>
  <si>
    <t>2019-09-17</t>
  </si>
  <si>
    <t>Yash Dutta</t>
  </si>
  <si>
    <t>2018-08-26</t>
  </si>
  <si>
    <t>Riya Kapoor</t>
  </si>
  <si>
    <t>2021-08-02</t>
  </si>
  <si>
    <t>Sai Sharma</t>
  </si>
  <si>
    <t>2022-07-07</t>
  </si>
  <si>
    <t>2016-02-21</t>
  </si>
  <si>
    <t>2018-08-21</t>
  </si>
  <si>
    <t>Ritesh Menon</t>
  </si>
  <si>
    <t>2024-01-14</t>
  </si>
  <si>
    <t>Ishaan Roy</t>
  </si>
  <si>
    <t>2023-09-22</t>
  </si>
  <si>
    <t>2024-11-06</t>
  </si>
  <si>
    <t>2019-01-31</t>
  </si>
  <si>
    <t>Akash Roy</t>
  </si>
  <si>
    <t>2017-12-17</t>
  </si>
  <si>
    <t>Suresh Kapoor</t>
  </si>
  <si>
    <t>2017-04-16</t>
  </si>
  <si>
    <t>2023-09-30</t>
  </si>
  <si>
    <t>Anjali Reddy</t>
  </si>
  <si>
    <t>Aisha Nair</t>
  </si>
  <si>
    <t>2024-12-04</t>
  </si>
  <si>
    <t>Suresh Shetty</t>
  </si>
  <si>
    <t>2018-05-31</t>
  </si>
  <si>
    <t>Akash Mehta</t>
  </si>
  <si>
    <t>2023-04-12</t>
  </si>
  <si>
    <t>2022-08-26</t>
  </si>
  <si>
    <t>Priya Patel</t>
  </si>
  <si>
    <t>2023-02-10</t>
  </si>
  <si>
    <t>2020-12-21</t>
  </si>
  <si>
    <t>2016-12-16</t>
  </si>
  <si>
    <t>Siddharth Pandey</t>
  </si>
  <si>
    <t>2021-11-27</t>
  </si>
  <si>
    <t>Sneha Agarwal</t>
  </si>
  <si>
    <t>2022-11-29</t>
  </si>
  <si>
    <t>Rohan Agarwal</t>
  </si>
  <si>
    <t>2021-10-22</t>
  </si>
  <si>
    <t>2022-01-08</t>
  </si>
  <si>
    <t>Meera Sharma</t>
  </si>
  <si>
    <t>2016-09-24</t>
  </si>
  <si>
    <t>Mahesh Naidu</t>
  </si>
  <si>
    <t>2019-08-01</t>
  </si>
  <si>
    <t>2019-03-06</t>
  </si>
  <si>
    <t>2021-08-09</t>
  </si>
  <si>
    <t>Amit Yadav</t>
  </si>
  <si>
    <t>2020-12-23</t>
  </si>
  <si>
    <t>Ira Pillai</t>
  </si>
  <si>
    <t>2018-10-28</t>
  </si>
  <si>
    <t>Shreya Shetty</t>
  </si>
  <si>
    <t>2020-07-18</t>
  </si>
  <si>
    <t>Sai Kapoor</t>
  </si>
  <si>
    <t>2024-07-11</t>
  </si>
  <si>
    <t>2023-07-19</t>
  </si>
  <si>
    <t>Vihaan Naidu</t>
  </si>
  <si>
    <t>2019-05-18</t>
  </si>
  <si>
    <t>Rohan Malhotra</t>
  </si>
  <si>
    <t>2020-10-19</t>
  </si>
  <si>
    <t>Aarav Das</t>
  </si>
  <si>
    <t>2019-06-17</t>
  </si>
  <si>
    <t>Gaurav Pillai</t>
  </si>
  <si>
    <t>2017-07-22</t>
  </si>
  <si>
    <t>Tanvi Pillai</t>
  </si>
  <si>
    <t>2021-08-25</t>
  </si>
  <si>
    <t>Rajat Roy</t>
  </si>
  <si>
    <t>2019-12-30</t>
  </si>
  <si>
    <t>2022-11-14</t>
  </si>
  <si>
    <t>Sai Naidu</t>
  </si>
  <si>
    <t>2023-11-09</t>
  </si>
  <si>
    <t>Prakash Nair</t>
  </si>
  <si>
    <t>2017-12-15</t>
  </si>
  <si>
    <t>Nisha Menon</t>
  </si>
  <si>
    <t>2019-11-25</t>
  </si>
  <si>
    <t>Siddharth Sharma</t>
  </si>
  <si>
    <t>2021-01-23</t>
  </si>
  <si>
    <t>Pallavi Verma</t>
  </si>
  <si>
    <t>2016-03-14</t>
  </si>
  <si>
    <t>2019-04-13</t>
  </si>
  <si>
    <t>Ritesh Singh</t>
  </si>
  <si>
    <t>Divya Sharma</t>
  </si>
  <si>
    <t>2020-08-02</t>
  </si>
  <si>
    <t>Divya Pandey</t>
  </si>
  <si>
    <t>2021-09-15</t>
  </si>
  <si>
    <t>Ira Shetty</t>
  </si>
  <si>
    <t>2021-02-22</t>
  </si>
  <si>
    <t>Ravi Roy</t>
  </si>
  <si>
    <t>2024-12-22</t>
  </si>
  <si>
    <t>2023-06-23</t>
  </si>
  <si>
    <t>2020-08-24</t>
  </si>
  <si>
    <t>2019-09-07</t>
  </si>
  <si>
    <t>2020-03-16</t>
  </si>
  <si>
    <t>Rajat Malhotra</t>
  </si>
  <si>
    <t>2022-02-09</t>
  </si>
  <si>
    <t>Pooja Bansal</t>
  </si>
  <si>
    <t>2019-01-21</t>
  </si>
  <si>
    <t>Vihaan Nair</t>
  </si>
  <si>
    <t>2020-10-12</t>
  </si>
  <si>
    <t>2023-02-20</t>
  </si>
  <si>
    <t>Shreya Yadav</t>
  </si>
  <si>
    <t>2016-10-03</t>
  </si>
  <si>
    <t>Krishna Pillai</t>
  </si>
  <si>
    <t>Gaurav Mehta</t>
  </si>
  <si>
    <t>Ananya Roy</t>
  </si>
  <si>
    <t>2018-01-31</t>
  </si>
  <si>
    <t>2024-08-14</t>
  </si>
  <si>
    <t>Sneha Singh</t>
  </si>
  <si>
    <t>2020-10-02</t>
  </si>
  <si>
    <t>Varun Dutta</t>
  </si>
  <si>
    <t>2016-07-13</t>
  </si>
  <si>
    <t>Aditya Mehta</t>
  </si>
  <si>
    <t>2022-02-16</t>
  </si>
  <si>
    <t>Ira Das</t>
  </si>
  <si>
    <t>2019-02-06</t>
  </si>
  <si>
    <t>Anjali Bansal</t>
  </si>
  <si>
    <t>2019-04-14</t>
  </si>
  <si>
    <t>2020-10-22</t>
  </si>
  <si>
    <t>Vivaan Verma</t>
  </si>
  <si>
    <t>2023-12-23</t>
  </si>
  <si>
    <t>Karthik Singh</t>
  </si>
  <si>
    <t>2024-11-16</t>
  </si>
  <si>
    <t>Tanvi Nair</t>
  </si>
  <si>
    <t>Ravi Naidu</t>
  </si>
  <si>
    <t>2023-05-17</t>
  </si>
  <si>
    <t>Vihaan Chatterjee</t>
  </si>
  <si>
    <t>2022-04-26</t>
  </si>
  <si>
    <t>Akash Saxena</t>
  </si>
  <si>
    <t>2019-12-22</t>
  </si>
  <si>
    <t>Radhika Kapoor</t>
  </si>
  <si>
    <t>2017-09-07</t>
  </si>
  <si>
    <t>2018-07-28</t>
  </si>
  <si>
    <t>Karthik Kulkarni</t>
  </si>
  <si>
    <t>2019-03-17</t>
  </si>
  <si>
    <t>Aarav Naidu</t>
  </si>
  <si>
    <t>2020-05-03</t>
  </si>
  <si>
    <t>Ishaan Naidu</t>
  </si>
  <si>
    <t>2017-08-15</t>
  </si>
  <si>
    <t>Kunal Das</t>
  </si>
  <si>
    <t>2019-04-08</t>
  </si>
  <si>
    <t>Varun Shetty</t>
  </si>
  <si>
    <t>Rajat Pandey</t>
  </si>
  <si>
    <t>2023-03-14</t>
  </si>
  <si>
    <t>2021-04-29</t>
  </si>
  <si>
    <t>Radhika Dutta</t>
  </si>
  <si>
    <t>2023-11-17</t>
  </si>
  <si>
    <t>Riya Nair</t>
  </si>
  <si>
    <t>2017-09-05</t>
  </si>
  <si>
    <t>Aditya Dutta</t>
  </si>
  <si>
    <t>Nikhil Pillai</t>
  </si>
  <si>
    <t>2017-04-10</t>
  </si>
  <si>
    <t>Krishna Mishra</t>
  </si>
  <si>
    <t>2021-02-02</t>
  </si>
  <si>
    <t>Shreya Kapoor</t>
  </si>
  <si>
    <t>2022-08-14</t>
  </si>
  <si>
    <t>Sai Pandey</t>
  </si>
  <si>
    <t>2020-09-16</t>
  </si>
  <si>
    <t>Kavya Pillai</t>
  </si>
  <si>
    <t>2018-05-24</t>
  </si>
  <si>
    <t>Divya Mishra</t>
  </si>
  <si>
    <t>2022-12-20</t>
  </si>
  <si>
    <t>2017-07-28</t>
  </si>
  <si>
    <t>Meera Saxena</t>
  </si>
  <si>
    <t>2018-07-26</t>
  </si>
  <si>
    <t>Akash Bansal</t>
  </si>
  <si>
    <t>2016-08-01</t>
  </si>
  <si>
    <t>Amit Mishra</t>
  </si>
  <si>
    <t>2017-11-13</t>
  </si>
  <si>
    <t>2021-04-14</t>
  </si>
  <si>
    <t>2024-10-13</t>
  </si>
  <si>
    <t>2022-07-30</t>
  </si>
  <si>
    <t>Karthik Pillai</t>
  </si>
  <si>
    <t>2019-04-03</t>
  </si>
  <si>
    <t>Varun Bansal</t>
  </si>
  <si>
    <t>2020-08-31</t>
  </si>
  <si>
    <t>2022-08-04</t>
  </si>
  <si>
    <t>2016-04-03</t>
  </si>
  <si>
    <t>Rajat Menon</t>
  </si>
  <si>
    <t>2020-02-09</t>
  </si>
  <si>
    <t>Ananya Shetty</t>
  </si>
  <si>
    <t>2022-03-07</t>
  </si>
  <si>
    <t>Ritesh Yadav</t>
  </si>
  <si>
    <t>2016-07-15</t>
  </si>
  <si>
    <t>Tarun Joshi</t>
  </si>
  <si>
    <t>2018-04-27</t>
  </si>
  <si>
    <t>2020-08-12</t>
  </si>
  <si>
    <t>Ravi Dutta</t>
  </si>
  <si>
    <t>2022-03-02</t>
  </si>
  <si>
    <t>Mahesh Rao</t>
  </si>
  <si>
    <t>2016-03-18</t>
  </si>
  <si>
    <t>Gaurav Agarwal</t>
  </si>
  <si>
    <t>2021-02-05</t>
  </si>
  <si>
    <t>2016-01-10</t>
  </si>
  <si>
    <t>2019-05-07</t>
  </si>
  <si>
    <t>2025-01-05</t>
  </si>
  <si>
    <t>Riya Yadav</t>
  </si>
  <si>
    <t>2022-10-28</t>
  </si>
  <si>
    <t>Simran Mishra</t>
  </si>
  <si>
    <t>2018-12-02</t>
  </si>
  <si>
    <t>2022-02-05</t>
  </si>
  <si>
    <t>Riya Malhotra</t>
  </si>
  <si>
    <t>2019-08-10</t>
  </si>
  <si>
    <t>Yash Gupta</t>
  </si>
  <si>
    <t>2024-11-09</t>
  </si>
  <si>
    <t>Shreya Malhotra</t>
  </si>
  <si>
    <t>2019-06-21</t>
  </si>
  <si>
    <t>2022-04-23</t>
  </si>
  <si>
    <t>Meera Mishra</t>
  </si>
  <si>
    <t>2022-07-06</t>
  </si>
  <si>
    <t>2024-12-11</t>
  </si>
  <si>
    <t>Ananya Das</t>
  </si>
  <si>
    <t>2021-05-11</t>
  </si>
  <si>
    <t>Gaurav Iyer</t>
  </si>
  <si>
    <t>2017-09-03</t>
  </si>
  <si>
    <t>Sneha Naidu</t>
  </si>
  <si>
    <t>2020-06-21</t>
  </si>
  <si>
    <t>Ira Mishra</t>
  </si>
  <si>
    <t>2018-07-30</t>
  </si>
  <si>
    <t>Anjali Sen</t>
  </si>
  <si>
    <t>Simran Menon</t>
  </si>
  <si>
    <t>2023-09-08</t>
  </si>
  <si>
    <t>2023-04-05</t>
  </si>
  <si>
    <t>2023-10-04</t>
  </si>
  <si>
    <t>Radhika Mishra</t>
  </si>
  <si>
    <t>2021-10-15</t>
  </si>
  <si>
    <t>Rahul Mehta</t>
  </si>
  <si>
    <t>2022-06-16</t>
  </si>
  <si>
    <t>Tarun Shetty</t>
  </si>
  <si>
    <t>2018-10-26</t>
  </si>
  <si>
    <t>Ananya Reddy</t>
  </si>
  <si>
    <t>2024-02-12</t>
  </si>
  <si>
    <t>Krishna Malhotra</t>
  </si>
  <si>
    <t>2017-11-21</t>
  </si>
  <si>
    <t>2019-03-16</t>
  </si>
  <si>
    <t>Riya Mishra</t>
  </si>
  <si>
    <t>2022-11-27</t>
  </si>
  <si>
    <t>Swati Joshi</t>
  </si>
  <si>
    <t>2021-11-15</t>
  </si>
  <si>
    <t>Yash Malhotra</t>
  </si>
  <si>
    <t>2024-09-04</t>
  </si>
  <si>
    <t>Shreya Reddy</t>
  </si>
  <si>
    <t>2019-02-12</t>
  </si>
  <si>
    <t>Karthik Das</t>
  </si>
  <si>
    <t>Deepak Iyer</t>
  </si>
  <si>
    <t>Ishaan Bose</t>
  </si>
  <si>
    <t>2024-06-21</t>
  </si>
  <si>
    <t>Ira Nair</t>
  </si>
  <si>
    <t>Divya Rao</t>
  </si>
  <si>
    <t>2016-03-16</t>
  </si>
  <si>
    <t>2017-02-07</t>
  </si>
  <si>
    <t>2020-07-30</t>
  </si>
  <si>
    <t>Mahesh Gupta</t>
  </si>
  <si>
    <t>2016-11-02</t>
  </si>
  <si>
    <t>Arjun Bansal</t>
  </si>
  <si>
    <t>2024-02-28</t>
  </si>
  <si>
    <t>2017-10-02</t>
  </si>
  <si>
    <t>Manish Pandey</t>
  </si>
  <si>
    <t>2018-01-10</t>
  </si>
  <si>
    <t>2021-12-11</t>
  </si>
  <si>
    <t>Deepak Naidu</t>
  </si>
  <si>
    <t>2024-09-22</t>
  </si>
  <si>
    <t>2021-04-20</t>
  </si>
  <si>
    <t>2022-07-12</t>
  </si>
  <si>
    <t>Mahesh Kulkarni</t>
  </si>
  <si>
    <t>2023-12-14</t>
  </si>
  <si>
    <t>Manish Joshi</t>
  </si>
  <si>
    <t>2023-09-27</t>
  </si>
  <si>
    <t>Sneha Nair</t>
  </si>
  <si>
    <t>2023-05-19</t>
  </si>
  <si>
    <t>2018-07-05</t>
  </si>
  <si>
    <t>Swati Gupta</t>
  </si>
  <si>
    <t>2018-06-02</t>
  </si>
  <si>
    <t>Simran Das</t>
  </si>
  <si>
    <t>2017-08-17</t>
  </si>
  <si>
    <t>Shreya Joshi</t>
  </si>
  <si>
    <t>2017-10-26</t>
  </si>
  <si>
    <t>2022-04-30</t>
  </si>
  <si>
    <t>2022-03-09</t>
  </si>
  <si>
    <t>Mahesh Nair</t>
  </si>
  <si>
    <t>Rahul Pandey</t>
  </si>
  <si>
    <t>2022-05-25</t>
  </si>
  <si>
    <t>Rajat Shetty</t>
  </si>
  <si>
    <t>2019-02-08</t>
  </si>
  <si>
    <t>2021-06-06</t>
  </si>
  <si>
    <t>Nikhil Dutta</t>
  </si>
  <si>
    <t>2018-08-29</t>
  </si>
  <si>
    <t>2024-05-07</t>
  </si>
  <si>
    <t>2016-05-05</t>
  </si>
  <si>
    <t>Nikhil Gupta</t>
  </si>
  <si>
    <t>2018-08-12</t>
  </si>
  <si>
    <t>Mahesh Menon</t>
  </si>
  <si>
    <t>2023-11-06</t>
  </si>
  <si>
    <t>2018-01-13</t>
  </si>
  <si>
    <t>Pallavi Bansal</t>
  </si>
  <si>
    <t>Rahul Sharma</t>
  </si>
  <si>
    <t>2020-05-01</t>
  </si>
  <si>
    <t>Rohan Verma</t>
  </si>
  <si>
    <t>2023-10-05</t>
  </si>
  <si>
    <t>Priya Sharma</t>
  </si>
  <si>
    <t>2017-02-12</t>
  </si>
  <si>
    <t>2018-06-18</t>
  </si>
  <si>
    <t>Divya Dutta</t>
  </si>
  <si>
    <t>2019-04-21</t>
  </si>
  <si>
    <t>2022-11-10</t>
  </si>
  <si>
    <t>Vivaan Reddy</t>
  </si>
  <si>
    <t>2020-04-23</t>
  </si>
  <si>
    <t>Divya Agarwal</t>
  </si>
  <si>
    <t>2016-01-05</t>
  </si>
  <si>
    <t>Rohan Sen</t>
  </si>
  <si>
    <t>2016-03-24</t>
  </si>
  <si>
    <t>Kunal Bansal</t>
  </si>
  <si>
    <t>2019-04-11</t>
  </si>
  <si>
    <t>2024-09-17</t>
  </si>
  <si>
    <t>Ravi Yadav</t>
  </si>
  <si>
    <t>2021-06-18</t>
  </si>
  <si>
    <t>Ravi Pandey</t>
  </si>
  <si>
    <t>2016-03-22</t>
  </si>
  <si>
    <t>2016-07-03</t>
  </si>
  <si>
    <t>2020-12-13</t>
  </si>
  <si>
    <t>Suresh Singh</t>
  </si>
  <si>
    <t>2022-05-05</t>
  </si>
  <si>
    <t>2022-01-27</t>
  </si>
  <si>
    <t>2021-05-28</t>
  </si>
  <si>
    <t>Radhika Singh</t>
  </si>
  <si>
    <t>2018-04-25</t>
  </si>
  <si>
    <t>2024-12-23</t>
  </si>
  <si>
    <t>2021-04-05</t>
  </si>
  <si>
    <t>Aditya Joshi</t>
  </si>
  <si>
    <t>2023-10-11</t>
  </si>
  <si>
    <t>Swati Mehta</t>
  </si>
  <si>
    <t>2024-09-08</t>
  </si>
  <si>
    <t>Pallavi Patel</t>
  </si>
  <si>
    <t>2020-03-24</t>
  </si>
  <si>
    <t>2020-11-22</t>
  </si>
  <si>
    <t>Meera Shetty</t>
  </si>
  <si>
    <t>Deepak Kulkarni</t>
  </si>
  <si>
    <t>2022-09-22</t>
  </si>
  <si>
    <t>2017-08-24</t>
  </si>
  <si>
    <t>Varun Roy</t>
  </si>
  <si>
    <t>2021-11-30</t>
  </si>
  <si>
    <t>Rahul Nair</t>
  </si>
  <si>
    <t>2023-11-18</t>
  </si>
  <si>
    <t>Varun Bose</t>
  </si>
  <si>
    <t>2016-05-22</t>
  </si>
  <si>
    <t>Pooja Pillai</t>
  </si>
  <si>
    <t>2021-01-18</t>
  </si>
  <si>
    <t>2017-01-02</t>
  </si>
  <si>
    <t>Reyansh Naidu</t>
  </si>
  <si>
    <t>2021-05-29</t>
  </si>
  <si>
    <t>2021-11-25</t>
  </si>
  <si>
    <t>2023-10-31</t>
  </si>
  <si>
    <t>Vivaan Chatterjee</t>
  </si>
  <si>
    <t>2018-10-03</t>
  </si>
  <si>
    <t>2019-02-15</t>
  </si>
  <si>
    <t>Rahul Shetty</t>
  </si>
  <si>
    <t>2020-06-06</t>
  </si>
  <si>
    <t>2022-05-22</t>
  </si>
  <si>
    <t>Amit Kulkarni</t>
  </si>
  <si>
    <t>2016-03-04</t>
  </si>
  <si>
    <t>Rahul Saxena</t>
  </si>
  <si>
    <t>2018-12-14</t>
  </si>
  <si>
    <t>Nikhil Malhotra</t>
  </si>
  <si>
    <t>2020-12-10</t>
  </si>
  <si>
    <t>Shreya Sen</t>
  </si>
  <si>
    <t>Manish Sharma</t>
  </si>
  <si>
    <t>2017-08-13</t>
  </si>
  <si>
    <t>Vihaan Singh</t>
  </si>
  <si>
    <t>2017-05-14</t>
  </si>
  <si>
    <t>Divya Joshi</t>
  </si>
  <si>
    <t>2018-12-11</t>
  </si>
  <si>
    <t>Rahul Sen</t>
  </si>
  <si>
    <t>2019-06-22</t>
  </si>
  <si>
    <t>Manish Roy</t>
  </si>
  <si>
    <t>Deepak Reddy</t>
  </si>
  <si>
    <t>Manish Yadav</t>
  </si>
  <si>
    <t>2018-11-10</t>
  </si>
  <si>
    <t>2016-02-27</t>
  </si>
  <si>
    <t>Divya Kulkarni</t>
  </si>
  <si>
    <t>2022-08-31</t>
  </si>
  <si>
    <t>2022-02-11</t>
  </si>
  <si>
    <t>Neha Agarwal</t>
  </si>
  <si>
    <t>Harish Bansal</t>
  </si>
  <si>
    <t>Nisha Naidu</t>
  </si>
  <si>
    <t>2017-05-31</t>
  </si>
  <si>
    <t>2020-01-15</t>
  </si>
  <si>
    <t>Sai Chatterjee</t>
  </si>
  <si>
    <t>2018-10-08</t>
  </si>
  <si>
    <t>2021-03-09</t>
  </si>
  <si>
    <t>2019-04-24</t>
  </si>
  <si>
    <t>Rajat Pillai</t>
  </si>
  <si>
    <t>2017-07-08</t>
  </si>
  <si>
    <t>2017-08-08</t>
  </si>
  <si>
    <t>2021-12-21</t>
  </si>
  <si>
    <t>2024-08-24</t>
  </si>
  <si>
    <t>Prakash Sharma</t>
  </si>
  <si>
    <t>2022-03-10</t>
  </si>
  <si>
    <t>Mahesh Chatterjee</t>
  </si>
  <si>
    <t>2020-03-10</t>
  </si>
  <si>
    <t>Aditya Menon</t>
  </si>
  <si>
    <t>2022-12-04</t>
  </si>
  <si>
    <t>2016-09-09</t>
  </si>
  <si>
    <t>Karthik Roy</t>
  </si>
  <si>
    <t>2016-09-05</t>
  </si>
  <si>
    <t>Vivaan Naidu</t>
  </si>
  <si>
    <t>2020-03-01</t>
  </si>
  <si>
    <t>2017-04-07</t>
  </si>
  <si>
    <t>Prakash Joshi</t>
  </si>
  <si>
    <t>2019-08-02</t>
  </si>
  <si>
    <t>2018-02-04</t>
  </si>
  <si>
    <t>2018-08-20</t>
  </si>
  <si>
    <t>Meera Gupta</t>
  </si>
  <si>
    <t>2023-09-05</t>
  </si>
  <si>
    <t>Aisha Yadav</t>
  </si>
  <si>
    <t>2021-09-16</t>
  </si>
  <si>
    <t>Radhika Joshi</t>
  </si>
  <si>
    <t>2023-01-23</t>
  </si>
  <si>
    <t>2021-07-31</t>
  </si>
  <si>
    <t>2024-01-31</t>
  </si>
  <si>
    <t>Nikhil Iyer</t>
  </si>
  <si>
    <t>2023-11-25</t>
  </si>
  <si>
    <t>2020-09-06</t>
  </si>
  <si>
    <t>Aisha Chatterjee</t>
  </si>
  <si>
    <t>2023-12-07</t>
  </si>
  <si>
    <t>Prakash Pandey</t>
  </si>
  <si>
    <t>2017-01-17</t>
  </si>
  <si>
    <t>2017-10-31</t>
  </si>
  <si>
    <t>2024-04-01</t>
  </si>
  <si>
    <t>Nisha Pillai</t>
  </si>
  <si>
    <t>2017-01-10</t>
  </si>
  <si>
    <t>Ira Malhotra</t>
  </si>
  <si>
    <t>2019-09-24</t>
  </si>
  <si>
    <t>Kavya Mehta</t>
  </si>
  <si>
    <t>2017-07-03</t>
  </si>
  <si>
    <t>Akash Sen</t>
  </si>
  <si>
    <t>2019-05-21</t>
  </si>
  <si>
    <t>2020-12-27</t>
  </si>
  <si>
    <t>2023-02-11</t>
  </si>
  <si>
    <t>2024-10-19</t>
  </si>
  <si>
    <t>Varun Reddy</t>
  </si>
  <si>
    <t>2019-10-24</t>
  </si>
  <si>
    <t>Tarun Gupta</t>
  </si>
  <si>
    <t>2016-10-21</t>
  </si>
  <si>
    <t>2019-10-04</t>
  </si>
  <si>
    <t>Neha Kapoor</t>
  </si>
  <si>
    <t>2018-03-19</t>
  </si>
  <si>
    <t>Riya Chatterjee</t>
  </si>
  <si>
    <t>2017-09-29</t>
  </si>
  <si>
    <t>2024-03-26</t>
  </si>
  <si>
    <t>Sai Gupta</t>
  </si>
  <si>
    <t>2022-05-02</t>
  </si>
  <si>
    <t>2017-04-26</t>
  </si>
  <si>
    <t>Diya Shetty</t>
  </si>
  <si>
    <t>2017-11-11</t>
  </si>
  <si>
    <t>2024-05-27</t>
  </si>
  <si>
    <t>Gaurav Sharma</t>
  </si>
  <si>
    <t>2020-02-22</t>
  </si>
  <si>
    <t>Nikhil Naidu</t>
  </si>
  <si>
    <t>2023-01-17</t>
  </si>
  <si>
    <t>2018-09-11</t>
  </si>
  <si>
    <t>Sneha Iyer</t>
  </si>
  <si>
    <t>2018-02-11</t>
  </si>
  <si>
    <t>Nisha Bose</t>
  </si>
  <si>
    <t>2017-12-11</t>
  </si>
  <si>
    <t>2021-01-04</t>
  </si>
  <si>
    <t>Pooja Pandey</t>
  </si>
  <si>
    <t>2022-01-14</t>
  </si>
  <si>
    <t>2020-07-28</t>
  </si>
  <si>
    <t>2019-12-14</t>
  </si>
  <si>
    <t>Kavya Kulkarni</t>
  </si>
  <si>
    <t>2020-05-15</t>
  </si>
  <si>
    <t>Meera Bose</t>
  </si>
  <si>
    <t>2023-01-05</t>
  </si>
  <si>
    <t>2017-07-25</t>
  </si>
  <si>
    <t>Sai Mishra</t>
  </si>
  <si>
    <t>Sneha Gupta</t>
  </si>
  <si>
    <t>Priya Kapoor</t>
  </si>
  <si>
    <t>2016-06-11</t>
  </si>
  <si>
    <t>2020-11-28</t>
  </si>
  <si>
    <t>Kavya Rao</t>
  </si>
  <si>
    <t>2021-12-17</t>
  </si>
  <si>
    <t>Rohan Pillai</t>
  </si>
  <si>
    <t>2022-03-16</t>
  </si>
  <si>
    <t>Kavya Menon</t>
  </si>
  <si>
    <t>Mahesh Das</t>
  </si>
  <si>
    <t>2017-05-25</t>
  </si>
  <si>
    <t>2022-07-03</t>
  </si>
  <si>
    <t>2024-06-02</t>
  </si>
  <si>
    <t>2016-05-09</t>
  </si>
  <si>
    <t>Shreya Singh</t>
  </si>
  <si>
    <t>2020-08-30</t>
  </si>
  <si>
    <t>2023-05-28</t>
  </si>
  <si>
    <t>Kavya Shetty</t>
  </si>
  <si>
    <t>2023-09-15</t>
  </si>
  <si>
    <t>Ishaan Kapoor</t>
  </si>
  <si>
    <t>Arjun Pillai</t>
  </si>
  <si>
    <t>2024-01-13</t>
  </si>
  <si>
    <t>Sai Dutta</t>
  </si>
  <si>
    <t>2018-10-31</t>
  </si>
  <si>
    <t>2021-09-22</t>
  </si>
  <si>
    <t>Karthik Saxena</t>
  </si>
  <si>
    <t>Anjali Sharma</t>
  </si>
  <si>
    <t>2023-12-24</t>
  </si>
  <si>
    <t>2023-07-05</t>
  </si>
  <si>
    <t>Tanvi Malhotra</t>
  </si>
  <si>
    <t>2018-03-27</t>
  </si>
  <si>
    <t>Siddharth Singh</t>
  </si>
  <si>
    <t>2016-12-27</t>
  </si>
  <si>
    <t>2019-12-31</t>
  </si>
  <si>
    <t>Tanvi Gupta</t>
  </si>
  <si>
    <t>2019-10-15</t>
  </si>
  <si>
    <t>Shreya Patel</t>
  </si>
  <si>
    <t>2023-04-15</t>
  </si>
  <si>
    <t>Reyansh Agarwal</t>
  </si>
  <si>
    <t>2024-06-29</t>
  </si>
  <si>
    <t>2019-01-15</t>
  </si>
  <si>
    <t>Krishna Shetty</t>
  </si>
  <si>
    <t>Vivaan Bose</t>
  </si>
  <si>
    <t>Riya Bansal</t>
  </si>
  <si>
    <t>2018-06-19</t>
  </si>
  <si>
    <t>2024-11-17</t>
  </si>
  <si>
    <t>Neha Verma</t>
  </si>
  <si>
    <t>2022-03-14</t>
  </si>
  <si>
    <t>Divya Verma</t>
  </si>
  <si>
    <t>2024-01-07</t>
  </si>
  <si>
    <t>Kunal Pillai</t>
  </si>
  <si>
    <t>2017-11-18</t>
  </si>
  <si>
    <t>2022-07-14</t>
  </si>
  <si>
    <t>2020-01-07</t>
  </si>
  <si>
    <t>Nisha Gupta</t>
  </si>
  <si>
    <t>2024-02-08</t>
  </si>
  <si>
    <t>2024-10-28</t>
  </si>
  <si>
    <t>Rahul Iyer</t>
  </si>
  <si>
    <t>2017-10-01</t>
  </si>
  <si>
    <t>Aditya Sharma</t>
  </si>
  <si>
    <t>2024-08-25</t>
  </si>
  <si>
    <t>Suresh Pillai</t>
  </si>
  <si>
    <t>2020-10-30</t>
  </si>
  <si>
    <t>2019-12-04</t>
  </si>
  <si>
    <t>2019-10-09</t>
  </si>
  <si>
    <t>2023-02-12</t>
  </si>
  <si>
    <t>2022-01-01</t>
  </si>
  <si>
    <t>2022-01-11</t>
  </si>
  <si>
    <t>Divya Yadav</t>
  </si>
  <si>
    <t>2019-08-09</t>
  </si>
  <si>
    <t>Tarun Iyer</t>
  </si>
  <si>
    <t>2023-07-10</t>
  </si>
  <si>
    <t>Yash Verma</t>
  </si>
  <si>
    <t>2021-12-04</t>
  </si>
  <si>
    <t>2020-01-14</t>
  </si>
  <si>
    <t>2022-11-20</t>
  </si>
  <si>
    <t>Pallavi Chatterjee</t>
  </si>
  <si>
    <t>2017-08-07</t>
  </si>
  <si>
    <t>Simran Pillai</t>
  </si>
  <si>
    <t>2021-07-11</t>
  </si>
  <si>
    <t>2020-11-26</t>
  </si>
  <si>
    <t>2020-01-08</t>
  </si>
  <si>
    <t>Manish Verma</t>
  </si>
  <si>
    <t>2023-04-20</t>
  </si>
  <si>
    <t>Divya Saxena</t>
  </si>
  <si>
    <t>2019-11-11</t>
  </si>
  <si>
    <t>2023-12-28</t>
  </si>
  <si>
    <t>Nikhil Singh</t>
  </si>
  <si>
    <t>2022-01-02</t>
  </si>
  <si>
    <t>Ritesh Iyer</t>
  </si>
  <si>
    <t>Varun Das</t>
  </si>
  <si>
    <t>2021-01-14</t>
  </si>
  <si>
    <t>2023-05-20</t>
  </si>
  <si>
    <t>2019-07-04</t>
  </si>
  <si>
    <t>2023-09-11</t>
  </si>
  <si>
    <t>Varun Singh</t>
  </si>
  <si>
    <t>2016-05-27</t>
  </si>
  <si>
    <t>2016-11-28</t>
  </si>
  <si>
    <t>2020-03-06</t>
  </si>
  <si>
    <t>Tarun Dutta</t>
  </si>
  <si>
    <t>2018-09-15</t>
  </si>
  <si>
    <t>Nikhil Shetty</t>
  </si>
  <si>
    <t>2020-03-07</t>
  </si>
  <si>
    <t>Neha Mehta</t>
  </si>
  <si>
    <t>Rajat Das</t>
  </si>
  <si>
    <t>2022-07-11</t>
  </si>
  <si>
    <t>Tanvi Verma</t>
  </si>
  <si>
    <t>2024-11-18</t>
  </si>
  <si>
    <t>Meera Kapoor</t>
  </si>
  <si>
    <t>2017-03-21</t>
  </si>
  <si>
    <t>2024-04-17</t>
  </si>
  <si>
    <t>2018-05-27</t>
  </si>
  <si>
    <t>Divya Chatterjee</t>
  </si>
  <si>
    <t>2018-01-17</t>
  </si>
  <si>
    <t>Pooja Agarwal</t>
  </si>
  <si>
    <t>Rohan Mehta</t>
  </si>
  <si>
    <t>2020-03-26</t>
  </si>
  <si>
    <t>Krishna Roy</t>
  </si>
  <si>
    <t>2024-11-21</t>
  </si>
  <si>
    <t>2016-02-25</t>
  </si>
  <si>
    <t>Aditya Verma</t>
  </si>
  <si>
    <t>2020-08-04</t>
  </si>
  <si>
    <t>Kunal Iyer</t>
  </si>
  <si>
    <t>Ira Menon</t>
  </si>
  <si>
    <t>2025-01-13</t>
  </si>
  <si>
    <t>2020-03-17</t>
  </si>
  <si>
    <t>Siddharth Pillai</t>
  </si>
  <si>
    <t>2023-11-07</t>
  </si>
  <si>
    <t>2016-07-09</t>
  </si>
  <si>
    <t>Swati Mishra</t>
  </si>
  <si>
    <t>Mahesh Dutta</t>
  </si>
  <si>
    <t>2016-05-16</t>
  </si>
  <si>
    <t>Pooja Dutta</t>
  </si>
  <si>
    <t>2017-05-21</t>
  </si>
  <si>
    <t>2017-04-20</t>
  </si>
  <si>
    <t>Gaurav Pandey</t>
  </si>
  <si>
    <t>Nikhil Nair</t>
  </si>
  <si>
    <t>2024-10-11</t>
  </si>
  <si>
    <t>2023-06-03</t>
  </si>
  <si>
    <t>Swati Bose</t>
  </si>
  <si>
    <t>2022-11-09</t>
  </si>
  <si>
    <t>Deepak Bansal</t>
  </si>
  <si>
    <t>Pallavi Yadav</t>
  </si>
  <si>
    <t>2022-06-02</t>
  </si>
  <si>
    <t>Harish Naidu</t>
  </si>
  <si>
    <t>2017-12-10</t>
  </si>
  <si>
    <t>Sneha Chatterjee</t>
  </si>
  <si>
    <t>2023-05-18</t>
  </si>
  <si>
    <t>2020-02-02</t>
  </si>
  <si>
    <t>Kunal Naidu</t>
  </si>
  <si>
    <t>2022-09-02</t>
  </si>
  <si>
    <t>2024-09-06</t>
  </si>
  <si>
    <t>2017-12-02</t>
  </si>
  <si>
    <t>Nikhil Patel</t>
  </si>
  <si>
    <t>2024-08-26</t>
  </si>
  <si>
    <t>2021-07-28</t>
  </si>
  <si>
    <t>2018-07-29</t>
  </si>
  <si>
    <t>2024-02-17</t>
  </si>
  <si>
    <t>2018-12-07</t>
  </si>
  <si>
    <t>2024-03-16</t>
  </si>
  <si>
    <t>2024-08-18</t>
  </si>
  <si>
    <t>2021-03-13</t>
  </si>
  <si>
    <t>2019-03-28</t>
  </si>
  <si>
    <t>Radhika Pandey</t>
  </si>
  <si>
    <t>2019-12-28</t>
  </si>
  <si>
    <t>Harish Iyer</t>
  </si>
  <si>
    <t>2020-03-23</t>
  </si>
  <si>
    <t>Nikhil Roy</t>
  </si>
  <si>
    <t>2019-08-13</t>
  </si>
  <si>
    <t>2018-11-01</t>
  </si>
  <si>
    <t>2017-01-26</t>
  </si>
  <si>
    <t>Kunal Shetty</t>
  </si>
  <si>
    <t>2019-07-08</t>
  </si>
  <si>
    <t>2016-02-12</t>
  </si>
  <si>
    <t>Karthik Bose</t>
  </si>
  <si>
    <t>2016-12-22</t>
  </si>
  <si>
    <t>2019-02-20</t>
  </si>
  <si>
    <t>2020-05-16</t>
  </si>
  <si>
    <t>Arjun Sen</t>
  </si>
  <si>
    <t>2018-12-19</t>
  </si>
  <si>
    <t>2021-09-01</t>
  </si>
  <si>
    <t>Rahul Bose</t>
  </si>
  <si>
    <t>2017-08-23</t>
  </si>
  <si>
    <t>Sai Joshi</t>
  </si>
  <si>
    <t>2017-10-24</t>
  </si>
  <si>
    <t>Kavya Sharma</t>
  </si>
  <si>
    <t>2021-10-28</t>
  </si>
  <si>
    <t>2016-02-05</t>
  </si>
  <si>
    <t>2023-08-08</t>
  </si>
  <si>
    <t>Ira Patel</t>
  </si>
  <si>
    <t>2023-07-04</t>
  </si>
  <si>
    <t>Rahul Menon</t>
  </si>
  <si>
    <t>2020-03-15</t>
  </si>
  <si>
    <t>2017-01-13</t>
  </si>
  <si>
    <t>2016-06-04</t>
  </si>
  <si>
    <t>2022-03-17</t>
  </si>
  <si>
    <t>Rajat Sen</t>
  </si>
  <si>
    <t>2017-06-15</t>
  </si>
  <si>
    <t>2016-07-28</t>
  </si>
  <si>
    <t>Amit Nair</t>
  </si>
  <si>
    <t>Ritesh Das</t>
  </si>
  <si>
    <t>2017-03-11</t>
  </si>
  <si>
    <t>Ira Yadav</t>
  </si>
  <si>
    <t>2021-08-23</t>
  </si>
  <si>
    <t>Ravi Menon</t>
  </si>
  <si>
    <t>2018-08-23</t>
  </si>
  <si>
    <t>Aarav Kapoor</t>
  </si>
  <si>
    <t>Nikhil Reddy</t>
  </si>
  <si>
    <t>Yash Joshi</t>
  </si>
  <si>
    <t>2018-08-22</t>
  </si>
  <si>
    <t>Swati Kapoor</t>
  </si>
  <si>
    <t>2024-11-28</t>
  </si>
  <si>
    <t>Rohan Saxena</t>
  </si>
  <si>
    <t>2019-12-29</t>
  </si>
  <si>
    <t>Gaurav Verma</t>
  </si>
  <si>
    <t>2016-11-21</t>
  </si>
  <si>
    <t>2021-05-25</t>
  </si>
  <si>
    <t>Mahesh Yadav</t>
  </si>
  <si>
    <t>2023-12-26</t>
  </si>
  <si>
    <t>2024-07-07</t>
  </si>
  <si>
    <t>Mahesh Kapoor</t>
  </si>
  <si>
    <t>Rahul Roy</t>
  </si>
  <si>
    <t>2019-01-24</t>
  </si>
  <si>
    <t>2018-05-26</t>
  </si>
  <si>
    <t>2022-11-15</t>
  </si>
  <si>
    <t>Suresh Verma</t>
  </si>
  <si>
    <t>2020-05-22</t>
  </si>
  <si>
    <t>2024-03-08</t>
  </si>
  <si>
    <t>Simran Chatterjee</t>
  </si>
  <si>
    <t>2016-07-05</t>
  </si>
  <si>
    <t>2019-03-25</t>
  </si>
  <si>
    <t>2019-02-18</t>
  </si>
  <si>
    <t>Tarun Roy</t>
  </si>
  <si>
    <t>2016-06-18</t>
  </si>
  <si>
    <t>2020-11-25</t>
  </si>
  <si>
    <t>Pallavi Bose</t>
  </si>
  <si>
    <t>2023-01-21</t>
  </si>
  <si>
    <t>2022-04-21</t>
  </si>
  <si>
    <t>2020-04-09</t>
  </si>
  <si>
    <t>2024-02-24</t>
  </si>
  <si>
    <t>Amit Joshi</t>
  </si>
  <si>
    <t>2019-12-18</t>
  </si>
  <si>
    <t>2018-05-23</t>
  </si>
  <si>
    <t>Swati Sen</t>
  </si>
  <si>
    <t>2024-09-25</t>
  </si>
  <si>
    <t>Swati Verma</t>
  </si>
  <si>
    <t>2021-03-05</t>
  </si>
  <si>
    <t>2022-01-26</t>
  </si>
  <si>
    <t>Aisha Menon</t>
  </si>
  <si>
    <t>2021-12-10</t>
  </si>
  <si>
    <t>2024-01-16</t>
  </si>
  <si>
    <t>Mahesh Pandey</t>
  </si>
  <si>
    <t>2016-09-01</t>
  </si>
  <si>
    <t>Siddharth Dutta</t>
  </si>
  <si>
    <t>2024-10-12</t>
  </si>
  <si>
    <t>Meera Menon</t>
  </si>
  <si>
    <t>2016-10-16</t>
  </si>
  <si>
    <t>2021-05-05</t>
  </si>
  <si>
    <t>Shreya Chatterjee</t>
  </si>
  <si>
    <t>2016-09-28</t>
  </si>
  <si>
    <t>2020-01-05</t>
  </si>
  <si>
    <t>Neha Singh</t>
  </si>
  <si>
    <t>2025-01-03</t>
  </si>
  <si>
    <t>Varun Pandey</t>
  </si>
  <si>
    <t>Prakash Bansal</t>
  </si>
  <si>
    <t>2020-05-29</t>
  </si>
  <si>
    <t>Anjali Kulkarni</t>
  </si>
  <si>
    <t>2016-02-20</t>
  </si>
  <si>
    <t>Sneha Bansal</t>
  </si>
  <si>
    <t>2021-05-13</t>
  </si>
  <si>
    <t>Pallavi Dutta</t>
  </si>
  <si>
    <t>2021-03-21</t>
  </si>
  <si>
    <t>Ishaan Saxena</t>
  </si>
  <si>
    <t>2018-07-09</t>
  </si>
  <si>
    <t>Anjali Yadav</t>
  </si>
  <si>
    <t>Riya Sen</t>
  </si>
  <si>
    <t>2017-01-28</t>
  </si>
  <si>
    <t>2023-01-13</t>
  </si>
  <si>
    <t>Swati Malhotra</t>
  </si>
  <si>
    <t>2016-07-29</t>
  </si>
  <si>
    <t>Swati Reddy</t>
  </si>
  <si>
    <t>Nisha Nair</t>
  </si>
  <si>
    <t>2019-12-05</t>
  </si>
  <si>
    <t>2017-06-17</t>
  </si>
  <si>
    <t>Divya Mehta</t>
  </si>
  <si>
    <t>2017-11-16</t>
  </si>
  <si>
    <t>Pallavi Nair</t>
  </si>
  <si>
    <t>Sai Nair</t>
  </si>
  <si>
    <t>2019-09-16</t>
  </si>
  <si>
    <t>Neha Sharma</t>
  </si>
  <si>
    <t>2022-02-28</t>
  </si>
  <si>
    <t>Diya Reddy</t>
  </si>
  <si>
    <t>2016-12-11</t>
  </si>
  <si>
    <t>2020-03-21</t>
  </si>
  <si>
    <t>2019-04-30</t>
  </si>
  <si>
    <t>2020-06-26</t>
  </si>
  <si>
    <t>2018-12-22</t>
  </si>
  <si>
    <t>2022-09-26</t>
  </si>
  <si>
    <t>Manish Gupta</t>
  </si>
  <si>
    <t>2024-05-17</t>
  </si>
  <si>
    <t>unknown</t>
  </si>
  <si>
    <t>Q1=</t>
  </si>
  <si>
    <t>Q3=</t>
  </si>
  <si>
    <t>IQR=</t>
  </si>
  <si>
    <t>Q3-Q1</t>
  </si>
  <si>
    <t>Q1-1.5*(Q3-Q1)</t>
  </si>
  <si>
    <t>Q3+1.5*(Q3-Q1)</t>
  </si>
  <si>
    <t>Deepak Roy</t>
  </si>
  <si>
    <t>Yash Menon</t>
  </si>
  <si>
    <t>Aarav Verma</t>
  </si>
  <si>
    <t>Reyansh Nair</t>
  </si>
  <si>
    <t>Simran Yadav</t>
  </si>
  <si>
    <t>Neha Chatterjee</t>
  </si>
  <si>
    <t>Kavya Bose</t>
  </si>
  <si>
    <t>Yash Roy</t>
  </si>
  <si>
    <t>Amit Pillai</t>
  </si>
  <si>
    <t>Simran Mehta</t>
  </si>
  <si>
    <t>Simran Dutta</t>
  </si>
  <si>
    <t>Siddharth Gupta</t>
  </si>
  <si>
    <t>Siddharth Agarwal</t>
  </si>
  <si>
    <t>Akash Agarwal</t>
  </si>
  <si>
    <t>Vihaan Bansal</t>
  </si>
  <si>
    <t>Sai Mehta</t>
  </si>
  <si>
    <t>Aditya Yadav</t>
  </si>
  <si>
    <t>Nisha Das</t>
  </si>
  <si>
    <t>Manish Agarwal</t>
  </si>
  <si>
    <t>Kavya Bansal</t>
  </si>
  <si>
    <t>Gaurav Shetty</t>
  </si>
  <si>
    <t>Pallavi Kapoor</t>
  </si>
  <si>
    <t>Yash Chatterjee</t>
  </si>
  <si>
    <t>Rahul Rao</t>
  </si>
  <si>
    <t>Tarun Kulkarni</t>
  </si>
  <si>
    <t>Arjun Kapoor</t>
  </si>
  <si>
    <t>Radhika Sen</t>
  </si>
  <si>
    <t>Prakash Mishra</t>
  </si>
  <si>
    <t>Suresh Bose</t>
  </si>
  <si>
    <t>Kavya Gupta</t>
  </si>
  <si>
    <t>Manish Reddy</t>
  </si>
  <si>
    <t>Amit Gupta</t>
  </si>
  <si>
    <t>Meera Sen</t>
  </si>
  <si>
    <t>Pallavi Singh</t>
  </si>
  <si>
    <t>Vihaan Kulkarni</t>
  </si>
  <si>
    <t>Tarun Agarwal</t>
  </si>
  <si>
    <t>Siddharth Verma</t>
  </si>
  <si>
    <t>Vivaan Mehta</t>
  </si>
  <si>
    <t>Gaurav Saxena</t>
  </si>
  <si>
    <t>Rajat Mehta</t>
  </si>
  <si>
    <t>Mahesh Mishra</t>
  </si>
  <si>
    <t>Vivaan Pandey</t>
  </si>
  <si>
    <t>Nikhil Bose</t>
  </si>
  <si>
    <t>Amit Kapoor</t>
  </si>
  <si>
    <t>Ritesh Sharma</t>
  </si>
  <si>
    <t>Pallavi Roy</t>
  </si>
  <si>
    <t>Vihaan Malhotra</t>
  </si>
  <si>
    <t>Pooja Mishra</t>
  </si>
  <si>
    <t>Radhika Nair</t>
  </si>
  <si>
    <t>Priya Bose</t>
  </si>
  <si>
    <t>Krishna Yadav</t>
  </si>
  <si>
    <t>Kunal Menon</t>
  </si>
  <si>
    <t>Shreya Roy</t>
  </si>
  <si>
    <t>Nisha Agarwal</t>
  </si>
  <si>
    <t>Aisha Reddy</t>
  </si>
  <si>
    <t>Meera Pillai</t>
  </si>
  <si>
    <t>Count of Emp_ID</t>
  </si>
  <si>
    <t>Row Labels</t>
  </si>
  <si>
    <t>Grand Total</t>
  </si>
  <si>
    <t>Average of Performance_Rating</t>
  </si>
  <si>
    <t>Average of Salary</t>
  </si>
  <si>
    <t>Max of Salary</t>
  </si>
  <si>
    <t>Max of Performance_Rating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</si>
</sst>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66" fontId="0" fillId="0" borderId="0" xfId="0" applyNumberFormat="1"/>
    <xf numFmtId="4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66" formatCode="[$-14009]yyyy/mm/dd;@"/>
    </dxf>
    <dxf>
      <numFmt numFmtId="1" formatCode="0"/>
    </dxf>
    <dxf>
      <numFmt numFmtId="1" formatCode="0"/>
    </dxf>
    <dxf>
      <numFmt numFmtId="30" formatCode="@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5.602653240741" createdVersion="6" refreshedVersion="6" minRefreshableVersion="3" recordCount="1000" xr:uid="{922C5562-8A04-4546-A453-DC7C398696AB}">
  <cacheSource type="worksheet">
    <worksheetSource name="Table2"/>
  </cacheSource>
  <cacheFields count="9">
    <cacheField name="Emp_ID" numFmtId="1">
      <sharedItems containsSemiMixedTypes="0" containsString="0" containsNumber="1" containsInteger="1" minValue="5001" maxValue="6000"/>
    </cacheField>
    <cacheField name="Employee_Name" numFmtId="49">
      <sharedItems count="701">
        <s v="Riya Naidu"/>
        <s v="Manish Bansal"/>
        <s v="Pallavi Reddy"/>
        <s v="Simran Malhotra"/>
        <s v="Ira Naidu"/>
        <s v="Pooja Kulkarni"/>
        <s v="Priya Agarwal"/>
        <s v="Deepak Roy"/>
        <s v="Anjali Das"/>
        <s v="Aarav Menon"/>
        <s v="Siddharth Reddy"/>
        <s v="Suresh Kulkarni"/>
        <s v="Suresh Saxena"/>
        <s v="Deepak Kapoor"/>
        <s v="Tarun Verma"/>
        <s v="Krishna Saxena"/>
        <s v="Rahul Malhotra"/>
        <s v="Diya Mehta"/>
        <s v="Amit Naidu"/>
        <s v="Yash Menon"/>
        <s v="Yash Sharma"/>
        <s v="Riya Agarwal"/>
        <s v="Anjali Mehta"/>
        <s v="Shreya Patel"/>
        <s v="Karthik Kapoor"/>
        <s v="Suresh Rao"/>
        <s v="Gaurav Bose"/>
        <s v="Aarav Bansal"/>
        <s v="Sneha Verma"/>
        <s v="Rohan Sharma"/>
        <s v="Sai Agarwal"/>
        <s v="Tarun Bose"/>
        <s v="Tarun Menon"/>
        <s v="Prakash Saxena"/>
        <s v="Ravi Singh"/>
        <s v="Mahesh Iyer"/>
        <s v="Swati Das"/>
        <s v="Kavya Roy"/>
        <s v="Aditya Reddy"/>
        <s v="Radhika Das"/>
        <s v="Varun Malhotra"/>
        <s v="Ishaan Kulkarni"/>
        <s v="Radhika Gupta"/>
        <s v="Mahesh Pillai"/>
        <s v="Aarav Verma"/>
        <s v="Sai Sen"/>
        <s v="Meera Chatterjee"/>
        <s v="Meera Singh"/>
        <s v="Prakash Roy"/>
        <s v="Vihaan Sen"/>
        <s v="Ravi Mehta"/>
        <s v="Arjun Malhotra"/>
        <s v="Ishaan Malhotra"/>
        <s v="Prakash Rao"/>
        <s v="Shreya Rao"/>
        <s v="Deepak Rao"/>
        <s v="Kunal Malhotra"/>
        <s v="Gaurav Dutta"/>
        <s v="Neha Shetty"/>
        <s v="Reyansh Nair"/>
        <s v="Vihaan Verma"/>
        <s v="Mahesh Verma"/>
        <s v="Amit Pandey"/>
        <s v="Anjali Roy"/>
        <s v="Neha Dutta"/>
        <s v="Ravi Sen"/>
        <s v="Priya Kulkarni"/>
        <s v="Reyansh Mehta"/>
        <s v="Yash Mehta"/>
        <s v="Sneha Joshi"/>
        <s v="Pallavi Rao"/>
        <s v="Meera Verma"/>
        <s v="Aisha Singh"/>
        <s v="Sneha Bansal"/>
        <s v="Ritesh Naidu"/>
        <s v="Tanvi Mehta"/>
        <s v="Akash Pandey"/>
        <s v="Simran Yadav"/>
        <s v="Gaurav Singh"/>
        <s v="Vihaan Menon"/>
        <s v="Amit Iyer"/>
        <s v="Amit Bansal"/>
        <s v="Vihaan Bose"/>
        <s v="Harish Joshi"/>
        <s v="Meera Kulkarni"/>
        <s v="Varun Iyer"/>
        <s v="Neha Chatterjee"/>
        <s v="Swati Kapoor"/>
        <s v="Kavya Bose"/>
        <s v="Pooja Shetty"/>
        <s v="Rohan Mishra"/>
        <s v="Amit Sen"/>
        <s v="Priya Reddy"/>
        <s v="Akash Yadav"/>
        <s v="Mahesh Saxena"/>
        <s v="Meera Bansal"/>
        <s v="Reyansh Dutta"/>
        <s v="Rohan Naidu"/>
        <s v="Varun Mishra"/>
        <s v="Manish Bose"/>
        <s v="Reyansh Chatterjee"/>
        <s v="Prakash Menon"/>
        <s v="Arjun Mishra"/>
        <s v="Divya Das"/>
        <s v="Varun Verma"/>
        <s v="Priya Nair"/>
        <s v="Ritesh Dutta"/>
        <s v="Deepak Mehta"/>
        <s v="Rohan Reddy"/>
        <s v="Riya Mehta"/>
        <s v="Tanvi Kapoor"/>
        <s v="Karthik Mishra"/>
        <s v="Yash Roy"/>
        <s v="Harish Singh"/>
        <s v="Amit Pillai"/>
        <s v="Reyansh Bansal"/>
        <s v="Meera Malhotra"/>
        <s v="Tarun Mishra"/>
        <s v="Diya Menon"/>
        <s v="Simran Mehta"/>
        <s v="Krishna Agarwal"/>
        <s v="Karthik Gupta"/>
        <s v="Priya Roy"/>
        <s v="Rohan Dutta"/>
        <s v="Simran Dutta"/>
        <s v="Harish Malhotra"/>
        <s v="Priya Mehta"/>
        <s v="Sneha Pandey"/>
        <s v="Siddharth Gupta"/>
        <s v="Tarun Malhotra"/>
        <s v="Prakash Chatterjee"/>
        <s v="Neha Gupta"/>
        <s v="Akash Bose"/>
        <s v="Meera Nair"/>
        <s v="Gaurav Nair"/>
        <s v="Gaurav Joshi"/>
        <s v="Nikhil Menon"/>
        <s v="Nisha Kulkarni"/>
        <s v="Deepak Agarwal"/>
        <s v="Akash Shetty"/>
        <s v="Diya Bose"/>
        <s v="Vihaan Pillai"/>
        <s v="Diya Singh"/>
        <s v="Ira Sen"/>
        <s v="Manish Pillai"/>
        <s v="Sneha Patel"/>
        <s v="Nikhil Kapoor"/>
        <s v="Pooja Das"/>
        <s v="Prakash Pillai"/>
        <s v="Ananya Chatterjee"/>
        <s v="Rohan Iyer"/>
        <s v="Ishaan Das"/>
        <s v="Kavya Das"/>
        <s v="Varun Saxena"/>
        <s v="Ananya Kapoor"/>
        <s v="Ishaan Singh"/>
        <s v="Vivaan Pillai"/>
        <s v="Ira Iyer"/>
        <s v="Siddharth Shetty"/>
        <s v="Nisha Shetty"/>
        <s v="Diya Gupta"/>
        <s v="Rahul Nair"/>
        <s v="Radhika Naidu"/>
        <s v="Siddharth Naidu"/>
        <s v="Rohan Das"/>
        <s v="Arjun Yadav"/>
        <s v="Aarav Pandey"/>
        <s v="Sneha Sharma"/>
        <s v="Krishna Naidu"/>
        <s v="Kunal Sen"/>
        <s v="Siddharth Agarwal"/>
        <s v="Rohan Shetty"/>
        <s v="Vivaan Gupta"/>
        <s v="Amit Agarwal"/>
        <s v="Krishna Chatterjee"/>
        <s v="Ira Mehta"/>
        <s v="Kavya Naidu"/>
        <s v="Karthik Patel"/>
        <s v="Mahesh Reddy"/>
        <s v="Arjun Pandey"/>
        <s v="Meera Joshi"/>
        <s v="Pallavi Malhotra"/>
        <s v="Ira Reddy"/>
        <s v="Aarav Nair"/>
        <s v="Tanvi Bose"/>
        <s v="Priya Das"/>
        <s v="Ananya Iyer"/>
        <s v="Akash Agarwal"/>
        <s v="Nisha Yadav"/>
        <s v="Pallavi Gupta"/>
        <s v="Nisha Sharma"/>
        <s v="Manish Rao"/>
        <s v="Neha Patel"/>
        <s v="Varun Joshi"/>
        <s v="Aarav Reddy"/>
        <s v="Nikhil Yadav"/>
        <s v="Kunal Yadav"/>
        <s v="Ritesh Sen"/>
        <s v="Reyansh Reddy"/>
        <s v="Aisha Saxena"/>
        <s v="Kavya Nair"/>
        <s v="Suresh Das"/>
        <s v="Vihaan Bansal"/>
        <s v="Sai Mehta"/>
        <s v="Yash Reddy"/>
        <s v="Aditya Yadav"/>
        <s v="Nisha Das"/>
        <s v="Ananya Sen"/>
        <s v="Suresh Bansal"/>
        <s v="Tarun Das"/>
        <s v="Manish Agarwal"/>
        <s v="Ritesh Patel"/>
        <s v="Suresh Mishra"/>
        <s v="Vihaan Shetty"/>
        <s v="Arjun Iyer"/>
        <s v="Sneha Saxena"/>
        <s v="Swati Pandey"/>
        <s v="Siddharth Mehta"/>
        <s v="Ritesh Mehta"/>
        <s v="Ira Dutta"/>
        <s v="Shreya Pillai"/>
        <s v="Sneha Mishra"/>
        <s v="Vivaan Singh"/>
        <s v="Aisha Sen"/>
        <s v="Manish Dutta"/>
        <s v="Nisha Malhotra"/>
        <s v="Kunal Gupta"/>
        <s v="Ravi Rao"/>
        <s v="Anjali Dutta"/>
        <s v="Prakash Iyer"/>
        <s v="Ira Chatterjee"/>
        <s v="Deepak Chatterjee"/>
        <s v="Tanvi Roy"/>
        <s v="Aditya Malhotra"/>
        <s v="Meera Agarwal"/>
        <s v="Meera Roy"/>
        <s v="Ishaan Reddy"/>
        <s v="Swati Bansal"/>
        <s v="Reyansh Kapoor"/>
        <s v="Nikhil Chatterjee"/>
        <s v="Riya Iyer"/>
        <s v="Neha Joshi"/>
        <s v="Rahul Kulkarni"/>
        <s v="Riya Roy"/>
        <s v="Arjun Shetty"/>
        <s v="Radhika Patel"/>
        <s v="Nikhil Mehta"/>
        <s v="Deepak Yadav"/>
        <s v="Neha Saxena"/>
        <s v="Sai Menon"/>
        <s v="Ira Singh"/>
        <s v="Karthik Joshi"/>
        <s v="Tarun Kapoor"/>
        <s v="Krishna Iyer"/>
        <s v="Simran Roy"/>
        <s v="Pallavi Agarwal"/>
        <s v="Ananya Menon"/>
        <s v="Divya Sen"/>
        <s v="Nisha Dutta"/>
        <s v="Divya Kapoor"/>
        <s v="Varun Shetty"/>
        <s v="Simran Nair"/>
        <s v="Priya Sen"/>
        <s v="Reyansh Mishra"/>
        <s v="Riya Rao"/>
        <s v="Aarav Malhotra"/>
        <s v="Varun Mehta"/>
        <s v="Arjun Patel"/>
        <s v="Neha Nair"/>
        <s v="Neha Yadav"/>
        <s v="Vivaan Kapoor"/>
        <s v="Yash Bose"/>
        <s v="Prakash Bansal"/>
        <s v="Varun Rao"/>
        <s v="Sneha Rao"/>
        <s v="Kavya Bansal"/>
        <s v="Kunal Pandey"/>
        <s v="Radhika Mehta"/>
        <s v="Radhika Kulkarni"/>
        <s v="Aditya Joshi"/>
        <s v="Aarav Yadav"/>
        <s v="Gaurav Shetty"/>
        <s v="Aditya Chatterjee"/>
        <s v="Arjun Chatterjee"/>
        <s v="Diya Sharma"/>
        <s v="Simran Reddy"/>
        <s v="Anjali Iyer"/>
        <s v="Aisha Mehta"/>
        <s v="Yash Saxena"/>
        <s v="Siddharth Roy"/>
        <s v="Yash Naidu"/>
        <s v="Riya Kulkarni"/>
        <s v="Ananya Nair"/>
        <s v="Harish Menon"/>
        <s v="Ishaan Shetty"/>
        <s v="Priya Mishra"/>
        <s v="Priya Menon"/>
        <s v="Gaurav Chatterjee"/>
        <s v="Pallavi Kapoor"/>
        <s v="Ravi Sharma"/>
        <s v="Akash Dutta"/>
        <s v="Meera Rao"/>
        <s v="Yash Chatterjee"/>
        <s v="Kavya Agarwal"/>
        <s v="Ananya Mehta"/>
        <s v="Rahul Rao"/>
        <s v="Shreya Dutta"/>
        <s v="Rajat Kulkarni"/>
        <s v="Yash Nair"/>
        <s v="Divya Reddy"/>
        <s v="Shreya Saxena"/>
        <s v="Karthik Nair"/>
        <s v="Aditya Mehta"/>
        <s v="Radhika Rao"/>
        <s v="Deepak Shetty"/>
        <s v="Suresh Sharma"/>
        <s v="Riya Gupta"/>
        <s v="Diya Joshi"/>
        <s v="Suresh Joshi"/>
        <s v="Radhika Bansal"/>
        <s v="Diya Iyer"/>
        <s v="Swati Iyer"/>
        <s v="Swati Rao"/>
        <s v="Pooja Rao"/>
        <s v="Anjali Pandey"/>
        <s v="Aisha Joshi"/>
        <s v="Aditya Pillai"/>
        <s v="Reyansh Roy"/>
        <s v="Rajat Mishra"/>
        <s v="Harish Pillai"/>
        <s v="Nikhil Sharma"/>
        <s v="Arjun Mehta"/>
        <s v="Ritesh Kulkarni"/>
        <s v="Manish Sen"/>
        <s v="Prakash Patel"/>
        <s v="Reyansh Patel"/>
        <s v="Radhika Bose"/>
        <s v="Ritesh Kapoor"/>
        <s v="Rajat Nair"/>
        <s v="Arjun Reddy"/>
        <s v="Gaurav Malhotra"/>
        <s v="Gaurav Naidu"/>
        <s v="Rajat Yadav"/>
        <s v="Tarun Kulkarni"/>
        <s v="Shreya Sen"/>
        <s v="Sneha Dutta"/>
        <s v="Vihaan Pandey"/>
        <s v="Akash Bansal"/>
        <s v="Diya Malhotra"/>
        <s v="Pooja Nair"/>
        <s v="Kunal Verma"/>
        <s v="Mahesh Patel"/>
        <s v="Deepak Nair"/>
        <s v="Mahesh Rao"/>
        <s v="Rohan Bose"/>
        <s v="Prakash Agarwal"/>
        <s v="Shreya Singh"/>
        <s v="Neha Bose"/>
        <s v="Neha Malhotra"/>
        <s v="Aditya Singh"/>
        <s v="Harish Bose"/>
        <s v="Karthik Naidu"/>
        <s v="Arjun Sharma"/>
        <s v="Suresh Malhotra"/>
        <s v="Pallavi Sharma"/>
        <s v="Yash Dutta"/>
        <s v="Riya Kapoor"/>
        <s v="Sai Sharma"/>
        <s v="Arjun Kapoor"/>
        <s v="Ritesh Menon"/>
        <s v="Ishaan Roy"/>
        <s v="Akash Roy"/>
        <s v="Suresh Kapoor"/>
        <s v="Anjali Reddy"/>
        <s v="Aisha Nair"/>
        <s v="Suresh Shetty"/>
        <s v="Akash Mehta"/>
        <s v="Priya Patel"/>
        <s v="Radhika Sen"/>
        <s v="Prakash Mishra"/>
        <s v="Siddharth Pandey"/>
        <s v="Sneha Agarwal"/>
        <s v="Rohan Agarwal"/>
        <s v="Suresh Bose"/>
        <s v="Meera Sharma"/>
        <s v="Mahesh Naidu"/>
        <s v="Kavya Gupta"/>
        <s v="Amit Yadav"/>
        <s v="Ira Pillai"/>
        <s v="Shreya Shetty"/>
        <s v="Sai Kapoor"/>
        <s v="Vihaan Naidu"/>
        <s v="Rohan Malhotra"/>
        <s v="Aarav Das"/>
        <s v="Gaurav Pillai"/>
        <s v="Tanvi Pillai"/>
        <s v="Manish Reddy"/>
        <s v="Amit Gupta"/>
        <s v="Rajat Roy"/>
        <s v="Sai Naidu"/>
        <s v="Prakash Nair"/>
        <s v="Nisha Menon"/>
        <s v="Siddharth Sharma"/>
        <s v="Pallavi Verma"/>
        <s v="Ritesh Singh"/>
        <s v="Divya Sharma"/>
        <s v="Divya Pandey"/>
        <s v="Ira Shetty"/>
        <s v="Ravi Roy"/>
        <s v="Rajat Malhotra"/>
        <s v="Pooja Bansal"/>
        <s v="Vihaan Nair"/>
        <s v="Shreya Yadav"/>
        <s v="Krishna Pillai"/>
        <s v="Gaurav Mehta"/>
        <s v="Ananya Roy"/>
        <s v="Sneha Singh"/>
        <s v="Varun Dutta"/>
        <s v="Ira Das"/>
        <s v="Anjali Bansal"/>
        <s v="Vivaan Verma"/>
        <s v="Karthik Singh"/>
        <s v="Tanvi Nair"/>
        <s v="Ravi Naidu"/>
        <s v="Manish Yadav"/>
        <s v="Vihaan Chatterjee"/>
        <s v="Akash Saxena"/>
        <s v="Radhika Kapoor"/>
        <s v="Karthik Kulkarni"/>
        <s v="Aarav Naidu"/>
        <s v="Ishaan Naidu"/>
        <s v="Kunal Das"/>
        <s v="Rajat Pandey"/>
        <s v="Radhika Dutta"/>
        <s v="Riya Nair"/>
        <s v="Aditya Dutta"/>
        <s v="Nikhil Pillai"/>
        <s v="Krishna Mishra"/>
        <s v="Shreya Kapoor"/>
        <s v="Sai Pandey"/>
        <s v="Kavya Pillai"/>
        <s v="Divya Mishra"/>
        <s v="Meera Saxena"/>
        <s v="Amit Mishra"/>
        <s v="Meera Sen"/>
        <s v="Karthik Pillai"/>
        <s v="Varun Bansal"/>
        <s v="Pallavi Singh"/>
        <s v="Rajat Menon"/>
        <s v="Ananya Shetty"/>
        <s v="Ritesh Yadav"/>
        <s v="Tarun Joshi"/>
        <s v="Ravi Dutta"/>
        <s v="Gaurav Agarwal"/>
        <s v="Simran Mishra"/>
        <s v="Vihaan Kulkarni"/>
        <s v="Riya Yadav"/>
        <s v="Riya Malhotra"/>
        <s v="Yash Gupta"/>
        <s v="Shreya Malhotra"/>
        <s v="Meera Mishra"/>
        <s v="Ananya Das"/>
        <s v="Gaurav Iyer"/>
        <s v="Sneha Naidu"/>
        <s v="Ira Mishra"/>
        <s v="Anjali Sen"/>
        <s v="Simran Menon"/>
        <s v="Radhika Mishra"/>
        <s v="Rahul Mehta"/>
        <s v="Tarun Shetty"/>
        <s v="Ananya Reddy"/>
        <s v="Tarun Agarwal"/>
        <s v="Krishna Malhotra"/>
        <s v="Siddharth Verma"/>
        <s v="Riya Mishra"/>
        <s v="Swati Joshi"/>
        <s v="Yash Malhotra"/>
        <s v="Shreya Reddy"/>
        <s v="Karthik Das"/>
        <s v="Deepak Iyer"/>
        <s v="Ishaan Bose"/>
        <s v="Ira Nair"/>
        <s v="Divya Rao"/>
        <s v="Vivaan Mehta"/>
        <s v="Mahesh Gupta"/>
        <s v="Arjun Bansal"/>
        <s v="Manish Pandey"/>
        <s v="Deepak Naidu"/>
        <s v="Mahesh Kulkarni"/>
        <s v="Manish Joshi"/>
        <s v="Sneha Nair"/>
        <s v="Swati Gupta"/>
        <s v="Simran Das"/>
        <s v="Shreya Joshi"/>
        <s v="Mahesh Nair"/>
        <s v="Rahul Pandey"/>
        <s v="Rajat Shetty"/>
        <s v="Nikhil Dutta"/>
        <s v="Gaurav Saxena"/>
        <s v="Nikhil Gupta"/>
        <s v="Mahesh Menon"/>
        <s v="Pallavi Bansal"/>
        <s v="Rahul Sharma"/>
        <s v="Rohan Verma"/>
        <s v="Priya Sharma"/>
        <s v="Divya Dutta"/>
        <s v="Vivaan Reddy"/>
        <s v="Divya Agarwal"/>
        <s v="Rohan Sen"/>
        <s v="Kunal Bansal"/>
        <s v="Ravi Yadav"/>
        <s v="Ravi Pandey"/>
        <s v="Suresh Singh"/>
        <s v="Radhika Singh"/>
        <s v="Swati Mehta"/>
        <s v="Pallavi Patel"/>
        <s v="Meera Shetty"/>
        <s v="Deepak Kulkarni"/>
        <s v="Varun Roy"/>
        <s v="Varun Bose"/>
        <s v="Pooja Pillai"/>
        <s v="Reyansh Naidu"/>
        <s v="Vivaan Chatterjee"/>
        <s v="Rahul Shetty"/>
        <s v="Amit Kulkarni"/>
        <s v="Rahul Saxena"/>
        <s v="Nikhil Malhotra"/>
        <s v="Manish Sharma"/>
        <s v="Vihaan Singh"/>
        <s v="Divya Joshi"/>
        <s v="Rahul Sen"/>
        <s v="Manish Roy"/>
        <s v="Deepak Reddy"/>
        <s v="Divya Kulkarni"/>
        <s v="Rajat Mehta"/>
        <s v="Neha Agarwal"/>
        <s v="Harish Bansal"/>
        <s v="Nisha Naidu"/>
        <s v="Sai Chatterjee"/>
        <s v="Mahesh Mishra"/>
        <s v="Rajat Pillai"/>
        <s v="Prakash Sharma"/>
        <s v="Mahesh Chatterjee"/>
        <s v="Aditya Menon"/>
        <s v="Karthik Roy"/>
        <s v="Vivaan Naidu"/>
        <s v="Prakash Joshi"/>
        <s v="Vivaan Pandey"/>
        <s v="Meera Gupta"/>
        <s v="Aisha Yadav"/>
        <s v="Radhika Joshi"/>
        <s v="Nikhil Bose"/>
        <s v="Nikhil Iyer"/>
        <s v="Aisha Chatterjee"/>
        <s v="Prakash Pandey"/>
        <s v="Amit Kapoor"/>
        <s v="Nisha Pillai"/>
        <s v="Ira Malhotra"/>
        <s v="Kavya Mehta"/>
        <s v="Akash Sen"/>
        <s v="Ritesh Sharma"/>
        <s v="Varun Reddy"/>
        <s v="Tarun Gupta"/>
        <s v="Neha Kapoor"/>
        <s v="Riya Chatterjee"/>
        <s v="Sai Gupta"/>
        <s v="Diya Shetty"/>
        <s v="Gaurav Sharma"/>
        <s v="Nikhil Naidu"/>
        <s v="Pallavi Roy"/>
        <s v="Sneha Iyer"/>
        <s v="Nisha Bose"/>
        <s v="Pooja Pandey"/>
        <s v="Kavya Kulkarni"/>
        <s v="Meera Bose"/>
        <s v="Sai Mishra"/>
        <s v="Sneha Gupta"/>
        <s v="Priya Kapoor"/>
        <s v="Kavya Rao"/>
        <s v="Rohan Pillai"/>
        <s v="Kavya Menon"/>
        <s v="Mahesh Das"/>
        <s v="Kavya Shetty"/>
        <s v="Ishaan Kapoor"/>
        <s v="Arjun Pillai"/>
        <s v="Sai Dutta"/>
        <s v="Karthik Saxena"/>
        <s v="Anjali Sharma"/>
        <s v="Tanvi Malhotra"/>
        <s v="Siddharth Singh"/>
        <s v="Vihaan Malhotra"/>
        <s v="Tanvi Gupta"/>
        <s v="Reyansh Agarwal"/>
        <s v="Krishna Shetty"/>
        <s v="Vivaan Bose"/>
        <s v="Riya Bansal"/>
        <s v="Neha Verma"/>
        <s v="Divya Verma"/>
        <s v="Kunal Pillai"/>
        <s v="Nisha Gupta"/>
        <s v="Divya Yadav"/>
        <s v="Rahul Iyer"/>
        <s v="Aditya Sharma"/>
        <s v="Suresh Pillai"/>
        <s v="Pooja Mishra"/>
        <s v="Tarun Iyer"/>
        <s v="Yash Verma"/>
        <s v="Pallavi Chatterjee"/>
        <s v="Simran Pillai"/>
        <s v="Radhika Nair"/>
        <s v="Manish Verma"/>
        <s v="Divya Saxena"/>
        <s v="Nikhil Singh"/>
        <s v="Ritesh Iyer"/>
        <s v="Varun Das"/>
        <s v="Varun Singh"/>
        <s v="Tarun Dutta"/>
        <s v="Nikhil Shetty"/>
        <s v="Neha Mehta"/>
        <s v="Rajat Das"/>
        <s v="Tanvi Verma"/>
        <s v="Meera Kapoor"/>
        <s v="Priya Bose"/>
        <s v="Divya Chatterjee"/>
        <s v="Pooja Agarwal"/>
        <s v="Rohan Mehta"/>
        <s v="Krishna Roy"/>
        <s v="Aditya Verma"/>
        <s v="Kunal Iyer"/>
        <s v="Ira Menon"/>
        <s v="Siddharth Pillai"/>
        <s v="Swati Mishra"/>
        <s v="Mahesh Dutta"/>
        <s v="Pooja Dutta"/>
        <s v="Gaurav Pandey"/>
        <s v="Nikhil Nair"/>
        <s v="Swati Bose"/>
        <s v="Deepak Bansal"/>
        <s v="Pallavi Yadav"/>
        <s v="Harish Naidu"/>
        <s v="Sneha Chatterjee"/>
        <s v="Krishna Yadav"/>
        <s v="Kunal Naidu"/>
        <s v="Nikhil Patel"/>
        <s v="Kunal Menon"/>
        <s v="Radhika Pandey"/>
        <s v="Harish Iyer"/>
        <s v="Nikhil Roy"/>
        <s v="Kunal Shetty"/>
        <s v="Karthik Bose"/>
        <s v="Arjun Sen"/>
        <s v="Rahul Bose"/>
        <s v="Sai Joshi"/>
        <s v="Kavya Sharma"/>
        <s v="Ira Patel"/>
        <s v="Rahul Menon"/>
        <s v="Rajat Sen"/>
        <s v="Amit Nair"/>
        <s v="Ritesh Das"/>
        <s v="Ira Yadav"/>
        <s v="Ravi Menon"/>
        <s v="Aarav Kapoor"/>
        <s v="Nikhil Reddy"/>
        <s v="Yash Joshi"/>
        <s v="Rohan Saxena"/>
        <s v="Gaurav Verma"/>
        <s v="Mahesh Yadav"/>
        <s v="Mahesh Kapoor"/>
        <s v="Rahul Roy"/>
        <s v="Shreya Roy"/>
        <s v="Nisha Agarwal"/>
        <s v="Suresh Verma"/>
        <s v="Simran Chatterjee"/>
        <s v="Aisha Reddy"/>
        <s v="Tarun Roy"/>
        <s v="Meera Pillai"/>
        <s v="Pallavi Bose"/>
        <s v="Amit Joshi"/>
        <s v="Swati Sen"/>
        <s v="Swati Verma"/>
        <s v="Aisha Menon"/>
        <s v="Mahesh Pandey"/>
        <s v="Siddharth Dutta"/>
        <s v="Meera Menon"/>
        <s v="Shreya Chatterjee"/>
        <s v="Neha Singh"/>
        <s v="Varun Pandey"/>
        <s v="Anjali Kulkarni"/>
        <s v="Pallavi Dutta"/>
        <s v="Ishaan Saxena"/>
        <s v="Anjali Yadav"/>
        <s v="Riya Sen"/>
        <s v="Swati Malhotra"/>
        <s v="Swati Reddy"/>
        <s v="Nisha Nair"/>
        <s v="Divya Mehta"/>
        <s v="Pallavi Nair"/>
        <s v="Sai Nair"/>
        <s v="Neha Sharma"/>
        <s v="Diya Reddy"/>
        <s v="Manish Gupta"/>
      </sharedItems>
    </cacheField>
    <cacheField name="Department" numFmtId="49">
      <sharedItems count="10">
        <s v="Legal"/>
        <s v="Product"/>
        <s v="Analytics"/>
        <s v="Marketing"/>
        <s v="Operations"/>
        <s v="Customer Support"/>
        <s v="Finance"/>
        <s v="Sales"/>
        <s v="HR"/>
        <s v="IT"/>
      </sharedItems>
    </cacheField>
    <cacheField name="City" numFmtId="49">
      <sharedItems count="10">
        <s v="Kolkata"/>
        <s v="Noida"/>
        <s v="Hyderabad"/>
        <s v="Gurgaon"/>
        <s v="Pune"/>
        <s v="Delhi"/>
        <s v="Bangalore"/>
        <s v="Mumbai"/>
        <s v="Ahmedabad"/>
        <s v="Chennai"/>
      </sharedItems>
    </cacheField>
    <cacheField name="Salary" numFmtId="1">
      <sharedItems containsSemiMixedTypes="0" containsString="0" containsNumber="1" containsInteger="1" minValue="28183" maxValue="149949"/>
    </cacheField>
    <cacheField name="Joining_Date" numFmtId="166">
      <sharedItems/>
    </cacheField>
    <cacheField name="Gender" numFmtId="49">
      <sharedItems count="3">
        <s v="F"/>
        <s v="M"/>
        <s v="unknown"/>
      </sharedItems>
    </cacheField>
    <cacheField name="Age" numFmtId="1">
      <sharedItems containsSemiMixedTypes="0" containsString="0" containsNumber="1" containsInteger="1" minValue="21" maxValue="55"/>
    </cacheField>
    <cacheField name="Performance_Rating" numFmtId="1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5001"/>
    <x v="0"/>
    <x v="0"/>
    <x v="0"/>
    <n v="58250"/>
    <s v="2017-07-04"/>
    <x v="0"/>
    <n v="31"/>
    <n v="3"/>
  </r>
  <r>
    <n v="5002"/>
    <x v="1"/>
    <x v="1"/>
    <x v="1"/>
    <n v="125933"/>
    <s v="2020-09-13"/>
    <x v="0"/>
    <n v="40"/>
    <n v="1"/>
  </r>
  <r>
    <n v="5003"/>
    <x v="2"/>
    <x v="2"/>
    <x v="2"/>
    <n v="115551"/>
    <s v="2023-01-29"/>
    <x v="0"/>
    <n v="38"/>
    <n v="2"/>
  </r>
  <r>
    <n v="5004"/>
    <x v="3"/>
    <x v="0"/>
    <x v="2"/>
    <n v="43693"/>
    <s v="2023-05-24"/>
    <x v="1"/>
    <n v="38"/>
    <n v="2"/>
  </r>
  <r>
    <n v="5005"/>
    <x v="4"/>
    <x v="3"/>
    <x v="3"/>
    <n v="135517"/>
    <s v="2016-11-06"/>
    <x v="0"/>
    <n v="48"/>
    <n v="1"/>
  </r>
  <r>
    <n v="5006"/>
    <x v="5"/>
    <x v="1"/>
    <x v="4"/>
    <n v="53361"/>
    <s v="2023-02-14"/>
    <x v="1"/>
    <n v="36"/>
    <n v="2"/>
  </r>
  <r>
    <n v="5007"/>
    <x v="6"/>
    <x v="2"/>
    <x v="3"/>
    <n v="41106"/>
    <s v="2016-12-03"/>
    <x v="1"/>
    <n v="24"/>
    <n v="1"/>
  </r>
  <r>
    <n v="5008"/>
    <x v="7"/>
    <x v="0"/>
    <x v="0"/>
    <n v="44553"/>
    <s v="2021-09-19"/>
    <x v="1"/>
    <n v="35"/>
    <n v="5"/>
  </r>
  <r>
    <n v="5009"/>
    <x v="8"/>
    <x v="4"/>
    <x v="5"/>
    <n v="103571"/>
    <s v="2016-07-23"/>
    <x v="1"/>
    <n v="33"/>
    <n v="4"/>
  </r>
  <r>
    <n v="5010"/>
    <x v="9"/>
    <x v="5"/>
    <x v="5"/>
    <n v="50283"/>
    <s v="2020-08-17"/>
    <x v="0"/>
    <n v="37"/>
    <n v="5"/>
  </r>
  <r>
    <n v="5011"/>
    <x v="10"/>
    <x v="2"/>
    <x v="5"/>
    <n v="106361"/>
    <s v="2021-02-18"/>
    <x v="0"/>
    <n v="45"/>
    <n v="4"/>
  </r>
  <r>
    <n v="5012"/>
    <x v="11"/>
    <x v="6"/>
    <x v="4"/>
    <n v="112879"/>
    <s v="2020-08-13"/>
    <x v="0"/>
    <n v="43"/>
    <n v="1"/>
  </r>
  <r>
    <n v="5013"/>
    <x v="12"/>
    <x v="0"/>
    <x v="5"/>
    <n v="73746"/>
    <s v="2024-09-21"/>
    <x v="1"/>
    <n v="32"/>
    <n v="3"/>
  </r>
  <r>
    <n v="5014"/>
    <x v="13"/>
    <x v="1"/>
    <x v="6"/>
    <n v="105084"/>
    <s v="2018-02-22"/>
    <x v="0"/>
    <n v="38"/>
    <n v="2"/>
  </r>
  <r>
    <n v="5015"/>
    <x v="14"/>
    <x v="1"/>
    <x v="7"/>
    <n v="53210"/>
    <s v="2019-05-25"/>
    <x v="1"/>
    <n v="43"/>
    <n v="2"/>
  </r>
  <r>
    <n v="5016"/>
    <x v="15"/>
    <x v="3"/>
    <x v="4"/>
    <n v="125684"/>
    <s v="2022-07-19"/>
    <x v="1"/>
    <n v="21"/>
    <n v="5"/>
  </r>
  <r>
    <n v="5017"/>
    <x v="16"/>
    <x v="6"/>
    <x v="7"/>
    <n v="74925"/>
    <s v="2018-09-19"/>
    <x v="1"/>
    <n v="24"/>
    <n v="2"/>
  </r>
  <r>
    <n v="5018"/>
    <x v="17"/>
    <x v="5"/>
    <x v="2"/>
    <n v="90920"/>
    <s v="2016-09-14"/>
    <x v="1"/>
    <n v="55"/>
    <n v="5"/>
  </r>
  <r>
    <n v="5019"/>
    <x v="18"/>
    <x v="2"/>
    <x v="8"/>
    <n v="99323"/>
    <s v="2018-09-25"/>
    <x v="0"/>
    <n v="42"/>
    <n v="3"/>
  </r>
  <r>
    <n v="5020"/>
    <x v="19"/>
    <x v="7"/>
    <x v="1"/>
    <n v="38057"/>
    <s v="2023-07-08"/>
    <x v="0"/>
    <n v="38"/>
    <n v="5"/>
  </r>
  <r>
    <n v="5021"/>
    <x v="20"/>
    <x v="6"/>
    <x v="2"/>
    <n v="102474"/>
    <s v="2019-05-05"/>
    <x v="0"/>
    <n v="49"/>
    <n v="2"/>
  </r>
  <r>
    <n v="5022"/>
    <x v="21"/>
    <x v="7"/>
    <x v="2"/>
    <n v="66127"/>
    <s v="2023-09-12"/>
    <x v="0"/>
    <n v="27"/>
    <n v="3"/>
  </r>
  <r>
    <n v="5023"/>
    <x v="22"/>
    <x v="8"/>
    <x v="7"/>
    <n v="36351"/>
    <s v="2021-07-27"/>
    <x v="1"/>
    <n v="42"/>
    <n v="2"/>
  </r>
  <r>
    <n v="5024"/>
    <x v="4"/>
    <x v="5"/>
    <x v="0"/>
    <n v="47201"/>
    <s v="2024-07-15"/>
    <x v="1"/>
    <n v="46"/>
    <n v="1"/>
  </r>
  <r>
    <n v="5025"/>
    <x v="23"/>
    <x v="5"/>
    <x v="5"/>
    <n v="124441"/>
    <s v="2018-11-17"/>
    <x v="1"/>
    <n v="36"/>
    <n v="2"/>
  </r>
  <r>
    <n v="5026"/>
    <x v="24"/>
    <x v="8"/>
    <x v="5"/>
    <n v="145165"/>
    <s v="2023-02-27"/>
    <x v="1"/>
    <n v="33"/>
    <n v="3"/>
  </r>
  <r>
    <n v="5027"/>
    <x v="25"/>
    <x v="0"/>
    <x v="0"/>
    <n v="85941"/>
    <s v="2018-12-24"/>
    <x v="1"/>
    <n v="30"/>
    <n v="2"/>
  </r>
  <r>
    <n v="5028"/>
    <x v="26"/>
    <x v="9"/>
    <x v="6"/>
    <n v="77300"/>
    <s v="2019-12-25"/>
    <x v="1"/>
    <n v="53"/>
    <n v="3"/>
  </r>
  <r>
    <n v="5029"/>
    <x v="27"/>
    <x v="0"/>
    <x v="8"/>
    <n v="122857"/>
    <s v="2016-01-26"/>
    <x v="0"/>
    <n v="54"/>
    <n v="5"/>
  </r>
  <r>
    <n v="5030"/>
    <x v="28"/>
    <x v="3"/>
    <x v="5"/>
    <n v="83906"/>
    <s v="2016-03-27"/>
    <x v="0"/>
    <n v="50"/>
    <n v="4"/>
  </r>
  <r>
    <n v="5031"/>
    <x v="18"/>
    <x v="3"/>
    <x v="8"/>
    <n v="44581"/>
    <s v="2024-09-24"/>
    <x v="1"/>
    <n v="27"/>
    <n v="3"/>
  </r>
  <r>
    <n v="5032"/>
    <x v="29"/>
    <x v="3"/>
    <x v="9"/>
    <n v="40064"/>
    <s v="2016-02-24"/>
    <x v="1"/>
    <n v="44"/>
    <n v="2"/>
  </r>
  <r>
    <n v="5033"/>
    <x v="30"/>
    <x v="4"/>
    <x v="7"/>
    <n v="40487"/>
    <s v="2019-04-02"/>
    <x v="0"/>
    <n v="33"/>
    <n v="3"/>
  </r>
  <r>
    <n v="5034"/>
    <x v="31"/>
    <x v="5"/>
    <x v="9"/>
    <n v="29862"/>
    <s v="2016-04-01"/>
    <x v="1"/>
    <n v="28"/>
    <n v="1"/>
  </r>
  <r>
    <n v="5035"/>
    <x v="32"/>
    <x v="8"/>
    <x v="0"/>
    <n v="62534"/>
    <s v="2023-03-06"/>
    <x v="2"/>
    <n v="53"/>
    <n v="3"/>
  </r>
  <r>
    <n v="5036"/>
    <x v="33"/>
    <x v="6"/>
    <x v="3"/>
    <n v="62222"/>
    <s v="2019-08-08"/>
    <x v="0"/>
    <n v="46"/>
    <n v="2"/>
  </r>
  <r>
    <n v="5037"/>
    <x v="34"/>
    <x v="6"/>
    <x v="9"/>
    <n v="58638"/>
    <s v="2017-10-20"/>
    <x v="1"/>
    <n v="23"/>
    <n v="2"/>
  </r>
  <r>
    <n v="5038"/>
    <x v="35"/>
    <x v="1"/>
    <x v="1"/>
    <n v="147527"/>
    <s v="2021-08-20"/>
    <x v="1"/>
    <n v="45"/>
    <n v="2"/>
  </r>
  <r>
    <n v="5039"/>
    <x v="36"/>
    <x v="2"/>
    <x v="1"/>
    <n v="96838"/>
    <s v="2019-08-05"/>
    <x v="1"/>
    <n v="26"/>
    <n v="5"/>
  </r>
  <r>
    <n v="5040"/>
    <x v="37"/>
    <x v="8"/>
    <x v="7"/>
    <n v="89152"/>
    <s v="2016-04-07"/>
    <x v="1"/>
    <n v="49"/>
    <n v="5"/>
  </r>
  <r>
    <n v="5041"/>
    <x v="38"/>
    <x v="2"/>
    <x v="7"/>
    <n v="100108"/>
    <s v="2017-01-01"/>
    <x v="0"/>
    <n v="43"/>
    <n v="3"/>
  </r>
  <r>
    <n v="5042"/>
    <x v="39"/>
    <x v="3"/>
    <x v="0"/>
    <n v="147361"/>
    <s v="2021-07-02"/>
    <x v="0"/>
    <n v="29"/>
    <n v="2"/>
  </r>
  <r>
    <n v="5043"/>
    <x v="40"/>
    <x v="8"/>
    <x v="2"/>
    <n v="61202"/>
    <s v="2023-03-06"/>
    <x v="0"/>
    <n v="49"/>
    <n v="5"/>
  </r>
  <r>
    <n v="5044"/>
    <x v="41"/>
    <x v="2"/>
    <x v="5"/>
    <n v="132676"/>
    <s v="2017-01-19"/>
    <x v="0"/>
    <n v="42"/>
    <n v="3"/>
  </r>
  <r>
    <n v="5045"/>
    <x v="42"/>
    <x v="1"/>
    <x v="0"/>
    <n v="103746"/>
    <s v="2017-12-25"/>
    <x v="1"/>
    <n v="37"/>
    <n v="5"/>
  </r>
  <r>
    <n v="5046"/>
    <x v="43"/>
    <x v="5"/>
    <x v="3"/>
    <n v="128559"/>
    <s v="2020-10-05"/>
    <x v="0"/>
    <n v="28"/>
    <n v="5"/>
  </r>
  <r>
    <n v="5047"/>
    <x v="44"/>
    <x v="8"/>
    <x v="3"/>
    <n v="40110"/>
    <s v="2016-01-24"/>
    <x v="0"/>
    <n v="31"/>
    <n v="4"/>
  </r>
  <r>
    <n v="5048"/>
    <x v="45"/>
    <x v="8"/>
    <x v="3"/>
    <n v="44008"/>
    <s v="2019-07-05"/>
    <x v="0"/>
    <n v="34"/>
    <n v="3"/>
  </r>
  <r>
    <n v="5049"/>
    <x v="46"/>
    <x v="7"/>
    <x v="1"/>
    <n v="71490"/>
    <s v="2017-12-12"/>
    <x v="0"/>
    <n v="23"/>
    <n v="4"/>
  </r>
  <r>
    <n v="5050"/>
    <x v="47"/>
    <x v="7"/>
    <x v="8"/>
    <n v="60258"/>
    <s v="2022-05-18"/>
    <x v="0"/>
    <n v="37"/>
    <n v="5"/>
  </r>
  <r>
    <n v="5051"/>
    <x v="48"/>
    <x v="5"/>
    <x v="1"/>
    <n v="127957"/>
    <s v="2018-12-23"/>
    <x v="1"/>
    <n v="29"/>
    <n v="5"/>
  </r>
  <r>
    <n v="5052"/>
    <x v="49"/>
    <x v="5"/>
    <x v="4"/>
    <n v="48831"/>
    <s v="2017-05-23"/>
    <x v="1"/>
    <n v="40"/>
    <n v="4"/>
  </r>
  <r>
    <n v="5053"/>
    <x v="50"/>
    <x v="8"/>
    <x v="1"/>
    <n v="83991"/>
    <s v="2019-05-13"/>
    <x v="0"/>
    <n v="34"/>
    <n v="2"/>
  </r>
  <r>
    <n v="5054"/>
    <x v="51"/>
    <x v="7"/>
    <x v="3"/>
    <n v="106155"/>
    <s v="2018-07-15"/>
    <x v="0"/>
    <n v="49"/>
    <n v="1"/>
  </r>
  <r>
    <n v="5055"/>
    <x v="52"/>
    <x v="4"/>
    <x v="2"/>
    <n v="93438"/>
    <s v="2023-01-24"/>
    <x v="1"/>
    <n v="30"/>
    <n v="1"/>
  </r>
  <r>
    <n v="5056"/>
    <x v="53"/>
    <x v="8"/>
    <x v="7"/>
    <n v="38145"/>
    <s v="2021-11-20"/>
    <x v="1"/>
    <n v="31"/>
    <n v="4"/>
  </r>
  <r>
    <n v="5057"/>
    <x v="54"/>
    <x v="6"/>
    <x v="1"/>
    <n v="61744"/>
    <s v="2021-01-28"/>
    <x v="1"/>
    <n v="42"/>
    <n v="5"/>
  </r>
  <r>
    <n v="5058"/>
    <x v="55"/>
    <x v="9"/>
    <x v="9"/>
    <n v="111367"/>
    <s v="2017-05-27"/>
    <x v="1"/>
    <n v="23"/>
    <n v="1"/>
  </r>
  <r>
    <n v="5059"/>
    <x v="56"/>
    <x v="6"/>
    <x v="6"/>
    <n v="122027"/>
    <s v="2018-12-09"/>
    <x v="0"/>
    <n v="23"/>
    <n v="3"/>
  </r>
  <r>
    <n v="5060"/>
    <x v="57"/>
    <x v="0"/>
    <x v="8"/>
    <n v="59880"/>
    <s v="2016-07-27"/>
    <x v="0"/>
    <n v="39"/>
    <n v="4"/>
  </r>
  <r>
    <n v="5061"/>
    <x v="58"/>
    <x v="4"/>
    <x v="1"/>
    <n v="128033"/>
    <s v="2020-11-21"/>
    <x v="1"/>
    <n v="52"/>
    <n v="5"/>
  </r>
  <r>
    <n v="5062"/>
    <x v="59"/>
    <x v="3"/>
    <x v="5"/>
    <n v="102355"/>
    <s v="2016-02-28"/>
    <x v="0"/>
    <n v="28"/>
    <n v="4"/>
  </r>
  <r>
    <n v="5063"/>
    <x v="60"/>
    <x v="5"/>
    <x v="0"/>
    <n v="57846"/>
    <s v="2021-01-16"/>
    <x v="1"/>
    <n v="29"/>
    <n v="2"/>
  </r>
  <r>
    <n v="5064"/>
    <x v="61"/>
    <x v="0"/>
    <x v="1"/>
    <n v="82101"/>
    <s v="2021-02-18"/>
    <x v="0"/>
    <n v="45"/>
    <n v="5"/>
  </r>
  <r>
    <n v="5065"/>
    <x v="62"/>
    <x v="8"/>
    <x v="4"/>
    <n v="130153"/>
    <s v="2024-04-13"/>
    <x v="2"/>
    <n v="34"/>
    <n v="4"/>
  </r>
  <r>
    <n v="5066"/>
    <x v="17"/>
    <x v="7"/>
    <x v="1"/>
    <n v="91296"/>
    <s v="2017-02-14"/>
    <x v="2"/>
    <n v="44"/>
    <n v="2"/>
  </r>
  <r>
    <n v="5067"/>
    <x v="63"/>
    <x v="5"/>
    <x v="0"/>
    <n v="87520"/>
    <s v="2024-12-28"/>
    <x v="0"/>
    <n v="26"/>
    <n v="2"/>
  </r>
  <r>
    <n v="5068"/>
    <x v="64"/>
    <x v="5"/>
    <x v="8"/>
    <n v="137519"/>
    <s v="2016-11-13"/>
    <x v="1"/>
    <n v="35"/>
    <n v="4"/>
  </r>
  <r>
    <n v="5069"/>
    <x v="65"/>
    <x v="0"/>
    <x v="7"/>
    <n v="61316"/>
    <s v="2022-04-15"/>
    <x v="0"/>
    <n v="39"/>
    <n v="2"/>
  </r>
  <r>
    <n v="5070"/>
    <x v="66"/>
    <x v="3"/>
    <x v="9"/>
    <n v="39819"/>
    <s v="2020-07-22"/>
    <x v="0"/>
    <n v="39"/>
    <n v="2"/>
  </r>
  <r>
    <n v="5071"/>
    <x v="67"/>
    <x v="9"/>
    <x v="4"/>
    <n v="97089"/>
    <s v="2024-09-16"/>
    <x v="0"/>
    <n v="39"/>
    <n v="1"/>
  </r>
  <r>
    <n v="5072"/>
    <x v="68"/>
    <x v="6"/>
    <x v="5"/>
    <n v="135866"/>
    <s v="2020-11-12"/>
    <x v="1"/>
    <n v="23"/>
    <n v="5"/>
  </r>
  <r>
    <n v="5073"/>
    <x v="69"/>
    <x v="3"/>
    <x v="1"/>
    <n v="133801"/>
    <s v="2022-10-19"/>
    <x v="0"/>
    <n v="38"/>
    <n v="3"/>
  </r>
  <r>
    <n v="5074"/>
    <x v="70"/>
    <x v="6"/>
    <x v="5"/>
    <n v="108823"/>
    <s v="2021-07-15"/>
    <x v="1"/>
    <n v="32"/>
    <n v="4"/>
  </r>
  <r>
    <n v="5075"/>
    <x v="71"/>
    <x v="7"/>
    <x v="4"/>
    <n v="75519"/>
    <s v="2018-08-16"/>
    <x v="2"/>
    <n v="31"/>
    <n v="4"/>
  </r>
  <r>
    <n v="5076"/>
    <x v="72"/>
    <x v="8"/>
    <x v="5"/>
    <n v="147104"/>
    <s v="2017-04-21"/>
    <x v="1"/>
    <n v="31"/>
    <n v="5"/>
  </r>
  <r>
    <n v="5077"/>
    <x v="73"/>
    <x v="9"/>
    <x v="5"/>
    <n v="114022"/>
    <s v="2025-01-09"/>
    <x v="1"/>
    <n v="22"/>
    <n v="1"/>
  </r>
  <r>
    <n v="5078"/>
    <x v="74"/>
    <x v="2"/>
    <x v="7"/>
    <n v="50917"/>
    <s v="2023-03-17"/>
    <x v="0"/>
    <n v="40"/>
    <n v="4"/>
  </r>
  <r>
    <n v="5079"/>
    <x v="75"/>
    <x v="2"/>
    <x v="4"/>
    <n v="87520"/>
    <s v="2019-08-22"/>
    <x v="1"/>
    <n v="55"/>
    <n v="3"/>
  </r>
  <r>
    <n v="5080"/>
    <x v="76"/>
    <x v="9"/>
    <x v="5"/>
    <n v="87520"/>
    <s v="2021-06-08"/>
    <x v="0"/>
    <n v="43"/>
    <n v="3"/>
  </r>
  <r>
    <n v="5081"/>
    <x v="77"/>
    <x v="1"/>
    <x v="6"/>
    <n v="66902"/>
    <s v="2024-11-03"/>
    <x v="1"/>
    <n v="28"/>
    <n v="1"/>
  </r>
  <r>
    <n v="5082"/>
    <x v="78"/>
    <x v="7"/>
    <x v="5"/>
    <n v="51141"/>
    <s v="2017-02-28"/>
    <x v="0"/>
    <n v="41"/>
    <n v="3"/>
  </r>
  <r>
    <n v="5083"/>
    <x v="79"/>
    <x v="0"/>
    <x v="7"/>
    <n v="96310"/>
    <s v="2022-11-02"/>
    <x v="1"/>
    <n v="23"/>
    <n v="4"/>
  </r>
  <r>
    <n v="5084"/>
    <x v="80"/>
    <x v="2"/>
    <x v="3"/>
    <n v="109441"/>
    <s v="2020-06-25"/>
    <x v="1"/>
    <n v="34"/>
    <n v="3"/>
  </r>
  <r>
    <n v="5085"/>
    <x v="81"/>
    <x v="2"/>
    <x v="1"/>
    <n v="135554"/>
    <s v="2019-07-02"/>
    <x v="0"/>
    <n v="39"/>
    <n v="4"/>
  </r>
  <r>
    <n v="5086"/>
    <x v="82"/>
    <x v="3"/>
    <x v="6"/>
    <n v="63360"/>
    <s v="2019-01-11"/>
    <x v="1"/>
    <n v="48"/>
    <n v="4"/>
  </r>
  <r>
    <n v="5087"/>
    <x v="83"/>
    <x v="6"/>
    <x v="2"/>
    <n v="33170"/>
    <s v="2017-01-21"/>
    <x v="1"/>
    <n v="35"/>
    <n v="3"/>
  </r>
  <r>
    <n v="5088"/>
    <x v="84"/>
    <x v="2"/>
    <x v="4"/>
    <n v="41397"/>
    <s v="2020-05-02"/>
    <x v="1"/>
    <n v="28"/>
    <n v="2"/>
  </r>
  <r>
    <n v="5089"/>
    <x v="85"/>
    <x v="4"/>
    <x v="6"/>
    <n v="43172"/>
    <s v="2016-06-10"/>
    <x v="1"/>
    <n v="34"/>
    <n v="3"/>
  </r>
  <r>
    <n v="5090"/>
    <x v="86"/>
    <x v="7"/>
    <x v="8"/>
    <n v="55413"/>
    <s v="2019-05-03"/>
    <x v="0"/>
    <n v="44"/>
    <n v="5"/>
  </r>
  <r>
    <n v="5091"/>
    <x v="87"/>
    <x v="0"/>
    <x v="9"/>
    <n v="120297"/>
    <s v="2019-06-09"/>
    <x v="1"/>
    <n v="51"/>
    <n v="4"/>
  </r>
  <r>
    <n v="5092"/>
    <x v="37"/>
    <x v="9"/>
    <x v="7"/>
    <n v="118004"/>
    <s v="2022-10-30"/>
    <x v="0"/>
    <n v="31"/>
    <n v="4"/>
  </r>
  <r>
    <n v="5093"/>
    <x v="55"/>
    <x v="9"/>
    <x v="3"/>
    <n v="31560"/>
    <s v="2021-05-23"/>
    <x v="1"/>
    <n v="37"/>
    <n v="3"/>
  </r>
  <r>
    <n v="5094"/>
    <x v="88"/>
    <x v="9"/>
    <x v="5"/>
    <n v="66563"/>
    <s v="2021-10-20"/>
    <x v="1"/>
    <n v="45"/>
    <n v="4"/>
  </r>
  <r>
    <n v="5095"/>
    <x v="89"/>
    <x v="5"/>
    <x v="9"/>
    <n v="104388"/>
    <s v="2020-04-03"/>
    <x v="0"/>
    <n v="21"/>
    <n v="1"/>
  </r>
  <r>
    <n v="5096"/>
    <x v="90"/>
    <x v="2"/>
    <x v="0"/>
    <n v="105657"/>
    <s v="2023-01-09"/>
    <x v="1"/>
    <n v="37"/>
    <n v="5"/>
  </r>
  <r>
    <n v="5097"/>
    <x v="91"/>
    <x v="3"/>
    <x v="4"/>
    <n v="148224"/>
    <s v="2021-12-15"/>
    <x v="1"/>
    <n v="49"/>
    <n v="5"/>
  </r>
  <r>
    <n v="5098"/>
    <x v="92"/>
    <x v="6"/>
    <x v="1"/>
    <n v="97974"/>
    <s v="2024-05-16"/>
    <x v="2"/>
    <n v="25"/>
    <n v="5"/>
  </r>
  <r>
    <n v="5099"/>
    <x v="93"/>
    <x v="4"/>
    <x v="3"/>
    <n v="106493"/>
    <s v="2017-10-25"/>
    <x v="0"/>
    <n v="39"/>
    <n v="4"/>
  </r>
  <r>
    <n v="5100"/>
    <x v="94"/>
    <x v="2"/>
    <x v="2"/>
    <n v="142082"/>
    <s v="2023-11-19"/>
    <x v="0"/>
    <n v="33"/>
    <n v="2"/>
  </r>
  <r>
    <n v="5101"/>
    <x v="95"/>
    <x v="9"/>
    <x v="3"/>
    <n v="68212"/>
    <s v="2020-08-26"/>
    <x v="0"/>
    <n v="27"/>
    <n v="5"/>
  </r>
  <r>
    <n v="5102"/>
    <x v="96"/>
    <x v="7"/>
    <x v="8"/>
    <n v="71399"/>
    <s v="2018-08-24"/>
    <x v="0"/>
    <n v="54"/>
    <n v="4"/>
  </r>
  <r>
    <n v="5103"/>
    <x v="97"/>
    <x v="2"/>
    <x v="0"/>
    <n v="88250"/>
    <s v="2021-07-27"/>
    <x v="1"/>
    <n v="45"/>
    <n v="2"/>
  </r>
  <r>
    <n v="5104"/>
    <x v="98"/>
    <x v="4"/>
    <x v="6"/>
    <n v="100908"/>
    <s v="2025-01-12"/>
    <x v="0"/>
    <n v="45"/>
    <n v="2"/>
  </r>
  <r>
    <n v="5105"/>
    <x v="99"/>
    <x v="1"/>
    <x v="1"/>
    <n v="34128"/>
    <s v="2016-09-07"/>
    <x v="0"/>
    <n v="35"/>
    <n v="5"/>
  </r>
  <r>
    <n v="5106"/>
    <x v="100"/>
    <x v="9"/>
    <x v="2"/>
    <n v="61177"/>
    <s v="2021-06-28"/>
    <x v="1"/>
    <n v="34"/>
    <n v="5"/>
  </r>
  <r>
    <n v="5107"/>
    <x v="24"/>
    <x v="0"/>
    <x v="1"/>
    <n v="103967"/>
    <s v="2018-07-27"/>
    <x v="0"/>
    <n v="33"/>
    <n v="4"/>
  </r>
  <r>
    <n v="5108"/>
    <x v="101"/>
    <x v="4"/>
    <x v="3"/>
    <n v="147426"/>
    <s v="2019-04-20"/>
    <x v="1"/>
    <n v="30"/>
    <n v="5"/>
  </r>
  <r>
    <n v="5109"/>
    <x v="102"/>
    <x v="3"/>
    <x v="8"/>
    <n v="104512"/>
    <s v="2017-04-02"/>
    <x v="0"/>
    <n v="34"/>
    <n v="2"/>
  </r>
  <r>
    <n v="5110"/>
    <x v="103"/>
    <x v="2"/>
    <x v="0"/>
    <n v="121469"/>
    <s v="2019-04-22"/>
    <x v="0"/>
    <n v="28"/>
    <n v="1"/>
  </r>
  <r>
    <n v="5111"/>
    <x v="104"/>
    <x v="0"/>
    <x v="6"/>
    <n v="146090"/>
    <s v="2024-07-28"/>
    <x v="1"/>
    <n v="47"/>
    <n v="5"/>
  </r>
  <r>
    <n v="5112"/>
    <x v="105"/>
    <x v="9"/>
    <x v="4"/>
    <n v="117971"/>
    <s v="2016-12-06"/>
    <x v="0"/>
    <n v="25"/>
    <n v="2"/>
  </r>
  <r>
    <n v="5113"/>
    <x v="106"/>
    <x v="2"/>
    <x v="4"/>
    <n v="87520"/>
    <s v="2023-06-21"/>
    <x v="1"/>
    <n v="24"/>
    <n v="1"/>
  </r>
  <r>
    <n v="5114"/>
    <x v="107"/>
    <x v="5"/>
    <x v="9"/>
    <n v="28650"/>
    <s v="2019-06-14"/>
    <x v="0"/>
    <n v="47"/>
    <n v="2"/>
  </r>
  <r>
    <n v="5115"/>
    <x v="108"/>
    <x v="3"/>
    <x v="9"/>
    <n v="29891"/>
    <s v="2021-11-16"/>
    <x v="0"/>
    <n v="47"/>
    <n v="3"/>
  </r>
  <r>
    <n v="5116"/>
    <x v="109"/>
    <x v="3"/>
    <x v="3"/>
    <n v="61488"/>
    <s v="2018-08-18"/>
    <x v="1"/>
    <n v="33"/>
    <n v="3"/>
  </r>
  <r>
    <n v="5117"/>
    <x v="110"/>
    <x v="7"/>
    <x v="4"/>
    <n v="133026"/>
    <s v="2021-02-04"/>
    <x v="0"/>
    <n v="47"/>
    <n v="1"/>
  </r>
  <r>
    <n v="5118"/>
    <x v="111"/>
    <x v="9"/>
    <x v="2"/>
    <n v="47626"/>
    <s v="2021-03-31"/>
    <x v="0"/>
    <n v="24"/>
    <n v="4"/>
  </r>
  <r>
    <n v="5119"/>
    <x v="112"/>
    <x v="5"/>
    <x v="2"/>
    <n v="87520"/>
    <s v="2018-05-30"/>
    <x v="0"/>
    <n v="28"/>
    <n v="1"/>
  </r>
  <r>
    <n v="5120"/>
    <x v="113"/>
    <x v="4"/>
    <x v="5"/>
    <n v="88722"/>
    <s v="2020-12-20"/>
    <x v="1"/>
    <n v="39"/>
    <n v="4"/>
  </r>
  <r>
    <n v="5121"/>
    <x v="114"/>
    <x v="0"/>
    <x v="6"/>
    <n v="121403"/>
    <s v="2018-12-10"/>
    <x v="0"/>
    <n v="40"/>
    <n v="2"/>
  </r>
  <r>
    <n v="5122"/>
    <x v="115"/>
    <x v="6"/>
    <x v="4"/>
    <n v="124313"/>
    <s v="2021-06-26"/>
    <x v="1"/>
    <n v="39"/>
    <n v="3"/>
  </r>
  <r>
    <n v="5123"/>
    <x v="116"/>
    <x v="2"/>
    <x v="5"/>
    <n v="109716"/>
    <s v="2016-01-31"/>
    <x v="0"/>
    <n v="47"/>
    <n v="2"/>
  </r>
  <r>
    <n v="5124"/>
    <x v="117"/>
    <x v="9"/>
    <x v="7"/>
    <n v="58550"/>
    <s v="2022-04-05"/>
    <x v="0"/>
    <n v="29"/>
    <n v="2"/>
  </r>
  <r>
    <n v="5125"/>
    <x v="118"/>
    <x v="2"/>
    <x v="7"/>
    <n v="49368"/>
    <s v="2021-10-14"/>
    <x v="1"/>
    <n v="29"/>
    <n v="3"/>
  </r>
  <r>
    <n v="5126"/>
    <x v="119"/>
    <x v="0"/>
    <x v="3"/>
    <n v="66442"/>
    <s v="2018-09-29"/>
    <x v="0"/>
    <n v="39"/>
    <n v="4"/>
  </r>
  <r>
    <n v="5127"/>
    <x v="120"/>
    <x v="7"/>
    <x v="5"/>
    <n v="98192"/>
    <s v="2021-01-06"/>
    <x v="1"/>
    <n v="39"/>
    <n v="4"/>
  </r>
  <r>
    <n v="5128"/>
    <x v="121"/>
    <x v="4"/>
    <x v="7"/>
    <n v="146657"/>
    <s v="2023-03-22"/>
    <x v="0"/>
    <n v="34"/>
    <n v="3"/>
  </r>
  <r>
    <n v="5129"/>
    <x v="122"/>
    <x v="9"/>
    <x v="9"/>
    <n v="64425"/>
    <s v="2022-09-20"/>
    <x v="0"/>
    <n v="23"/>
    <n v="1"/>
  </r>
  <r>
    <n v="5130"/>
    <x v="123"/>
    <x v="9"/>
    <x v="0"/>
    <n v="71731"/>
    <s v="2022-12-22"/>
    <x v="1"/>
    <n v="40"/>
    <n v="5"/>
  </r>
  <r>
    <n v="5131"/>
    <x v="124"/>
    <x v="4"/>
    <x v="2"/>
    <n v="140520"/>
    <s v="2024-08-03"/>
    <x v="1"/>
    <n v="39"/>
    <n v="3"/>
  </r>
  <r>
    <n v="5132"/>
    <x v="125"/>
    <x v="1"/>
    <x v="4"/>
    <n v="117531"/>
    <s v="2023-06-20"/>
    <x v="1"/>
    <n v="46"/>
    <n v="2"/>
  </r>
  <r>
    <n v="5133"/>
    <x v="126"/>
    <x v="3"/>
    <x v="6"/>
    <n v="87520"/>
    <s v="2016-01-23"/>
    <x v="1"/>
    <n v="36"/>
    <n v="4"/>
  </r>
  <r>
    <n v="5134"/>
    <x v="127"/>
    <x v="9"/>
    <x v="3"/>
    <n v="106647"/>
    <s v="2017-06-22"/>
    <x v="0"/>
    <n v="30"/>
    <n v="3"/>
  </r>
  <r>
    <n v="5135"/>
    <x v="128"/>
    <x v="5"/>
    <x v="3"/>
    <n v="133489"/>
    <s v="2023-09-26"/>
    <x v="1"/>
    <n v="24"/>
    <n v="5"/>
  </r>
  <r>
    <n v="5136"/>
    <x v="129"/>
    <x v="1"/>
    <x v="8"/>
    <n v="88732"/>
    <s v="2023-03-21"/>
    <x v="0"/>
    <n v="30"/>
    <n v="5"/>
  </r>
  <r>
    <n v="5137"/>
    <x v="130"/>
    <x v="5"/>
    <x v="2"/>
    <n v="102078"/>
    <s v="2022-06-18"/>
    <x v="0"/>
    <n v="46"/>
    <n v="3"/>
  </r>
  <r>
    <n v="5138"/>
    <x v="131"/>
    <x v="7"/>
    <x v="5"/>
    <n v="117427"/>
    <s v="2022-11-11"/>
    <x v="0"/>
    <n v="42"/>
    <n v="3"/>
  </r>
  <r>
    <n v="5139"/>
    <x v="132"/>
    <x v="2"/>
    <x v="8"/>
    <n v="61312"/>
    <s v="2019-01-07"/>
    <x v="1"/>
    <n v="29"/>
    <n v="3"/>
  </r>
  <r>
    <n v="5140"/>
    <x v="133"/>
    <x v="9"/>
    <x v="9"/>
    <n v="54502"/>
    <s v="2021-01-17"/>
    <x v="2"/>
    <n v="45"/>
    <n v="1"/>
  </r>
  <r>
    <n v="5141"/>
    <x v="65"/>
    <x v="8"/>
    <x v="2"/>
    <n v="112346"/>
    <s v="2022-07-10"/>
    <x v="1"/>
    <n v="54"/>
    <n v="2"/>
  </r>
  <r>
    <n v="5142"/>
    <x v="134"/>
    <x v="1"/>
    <x v="4"/>
    <n v="52468"/>
    <s v="2020-11-15"/>
    <x v="1"/>
    <n v="42"/>
    <n v="4"/>
  </r>
  <r>
    <n v="5143"/>
    <x v="135"/>
    <x v="7"/>
    <x v="8"/>
    <n v="126182"/>
    <s v="2016-10-04"/>
    <x v="1"/>
    <n v="39"/>
    <n v="5"/>
  </r>
  <r>
    <n v="5144"/>
    <x v="136"/>
    <x v="9"/>
    <x v="8"/>
    <n v="54887"/>
    <s v="2024-11-12"/>
    <x v="1"/>
    <n v="43"/>
    <n v="4"/>
  </r>
  <r>
    <n v="5145"/>
    <x v="137"/>
    <x v="6"/>
    <x v="2"/>
    <n v="42443"/>
    <s v="2018-08-25"/>
    <x v="1"/>
    <n v="24"/>
    <n v="5"/>
  </r>
  <r>
    <n v="5146"/>
    <x v="138"/>
    <x v="1"/>
    <x v="5"/>
    <n v="43833"/>
    <s v="2021-06-16"/>
    <x v="0"/>
    <n v="38"/>
    <n v="2"/>
  </r>
  <r>
    <n v="5147"/>
    <x v="139"/>
    <x v="5"/>
    <x v="5"/>
    <n v="94187"/>
    <s v="2024-09-19"/>
    <x v="0"/>
    <n v="49"/>
    <n v="1"/>
  </r>
  <r>
    <n v="5148"/>
    <x v="140"/>
    <x v="7"/>
    <x v="1"/>
    <n v="82483"/>
    <s v="2024-09-03"/>
    <x v="0"/>
    <n v="54"/>
    <n v="1"/>
  </r>
  <r>
    <n v="5149"/>
    <x v="98"/>
    <x v="2"/>
    <x v="3"/>
    <n v="92594"/>
    <s v="2016-06-12"/>
    <x v="0"/>
    <n v="51"/>
    <n v="2"/>
  </r>
  <r>
    <n v="5150"/>
    <x v="141"/>
    <x v="2"/>
    <x v="8"/>
    <n v="88333"/>
    <s v="2018-04-19"/>
    <x v="0"/>
    <n v="46"/>
    <n v="1"/>
  </r>
  <r>
    <n v="5151"/>
    <x v="142"/>
    <x v="0"/>
    <x v="4"/>
    <n v="113381"/>
    <s v="2016-10-31"/>
    <x v="1"/>
    <n v="51"/>
    <n v="3"/>
  </r>
  <r>
    <n v="5152"/>
    <x v="143"/>
    <x v="1"/>
    <x v="4"/>
    <n v="79054"/>
    <s v="2017-12-20"/>
    <x v="1"/>
    <n v="36"/>
    <n v="3"/>
  </r>
  <r>
    <n v="5153"/>
    <x v="144"/>
    <x v="3"/>
    <x v="2"/>
    <n v="69218"/>
    <s v="2023-02-08"/>
    <x v="0"/>
    <n v="55"/>
    <n v="5"/>
  </r>
  <r>
    <n v="5154"/>
    <x v="145"/>
    <x v="4"/>
    <x v="4"/>
    <n v="87520"/>
    <s v="2019-09-09"/>
    <x v="0"/>
    <n v="34"/>
    <n v="5"/>
  </r>
  <r>
    <n v="5155"/>
    <x v="146"/>
    <x v="2"/>
    <x v="2"/>
    <n v="120023"/>
    <s v="2023-03-01"/>
    <x v="1"/>
    <n v="47"/>
    <n v="1"/>
  </r>
  <r>
    <n v="5156"/>
    <x v="147"/>
    <x v="2"/>
    <x v="4"/>
    <n v="45008"/>
    <s v="2020-03-12"/>
    <x v="2"/>
    <n v="55"/>
    <n v="1"/>
  </r>
  <r>
    <n v="5157"/>
    <x v="148"/>
    <x v="7"/>
    <x v="8"/>
    <n v="86752"/>
    <s v="2021-09-20"/>
    <x v="0"/>
    <n v="52"/>
    <n v="1"/>
  </r>
  <r>
    <n v="5158"/>
    <x v="149"/>
    <x v="8"/>
    <x v="4"/>
    <n v="38193"/>
    <s v="2020-06-04"/>
    <x v="1"/>
    <n v="45"/>
    <n v="3"/>
  </r>
  <r>
    <n v="5159"/>
    <x v="150"/>
    <x v="1"/>
    <x v="2"/>
    <n v="49894"/>
    <s v="2024-05-31"/>
    <x v="0"/>
    <n v="23"/>
    <n v="2"/>
  </r>
  <r>
    <n v="5160"/>
    <x v="151"/>
    <x v="5"/>
    <x v="4"/>
    <n v="58043"/>
    <s v="2018-01-21"/>
    <x v="0"/>
    <n v="41"/>
    <n v="4"/>
  </r>
  <r>
    <n v="5161"/>
    <x v="152"/>
    <x v="3"/>
    <x v="8"/>
    <n v="87520"/>
    <s v="2021-02-12"/>
    <x v="1"/>
    <n v="49"/>
    <n v="5"/>
  </r>
  <r>
    <n v="5162"/>
    <x v="153"/>
    <x v="0"/>
    <x v="7"/>
    <n v="91503"/>
    <s v="2022-06-14"/>
    <x v="1"/>
    <n v="52"/>
    <n v="1"/>
  </r>
  <r>
    <n v="5163"/>
    <x v="154"/>
    <x v="2"/>
    <x v="4"/>
    <n v="41052"/>
    <s v="2019-06-09"/>
    <x v="0"/>
    <n v="54"/>
    <n v="2"/>
  </r>
  <r>
    <n v="5164"/>
    <x v="14"/>
    <x v="9"/>
    <x v="5"/>
    <n v="87520"/>
    <s v="2021-04-10"/>
    <x v="0"/>
    <n v="51"/>
    <n v="2"/>
  </r>
  <r>
    <n v="5165"/>
    <x v="155"/>
    <x v="4"/>
    <x v="4"/>
    <n v="29350"/>
    <s v="2017-02-06"/>
    <x v="1"/>
    <n v="39"/>
    <n v="3"/>
  </r>
  <r>
    <n v="5166"/>
    <x v="156"/>
    <x v="6"/>
    <x v="0"/>
    <n v="93906"/>
    <s v="2016-01-15"/>
    <x v="0"/>
    <n v="54"/>
    <n v="5"/>
  </r>
  <r>
    <n v="5167"/>
    <x v="11"/>
    <x v="0"/>
    <x v="5"/>
    <n v="69914"/>
    <s v="2021-04-26"/>
    <x v="0"/>
    <n v="34"/>
    <n v="1"/>
  </r>
  <r>
    <n v="5168"/>
    <x v="157"/>
    <x v="9"/>
    <x v="1"/>
    <n v="81290"/>
    <s v="2022-01-24"/>
    <x v="0"/>
    <n v="42"/>
    <n v="5"/>
  </r>
  <r>
    <n v="5169"/>
    <x v="158"/>
    <x v="8"/>
    <x v="8"/>
    <n v="49023"/>
    <s v="2024-07-24"/>
    <x v="0"/>
    <n v="41"/>
    <n v="2"/>
  </r>
  <r>
    <n v="5170"/>
    <x v="159"/>
    <x v="4"/>
    <x v="4"/>
    <n v="29308"/>
    <s v="2017-08-20"/>
    <x v="0"/>
    <n v="51"/>
    <n v="2"/>
  </r>
  <r>
    <n v="5171"/>
    <x v="160"/>
    <x v="0"/>
    <x v="9"/>
    <n v="30565"/>
    <s v="2022-10-31"/>
    <x v="1"/>
    <n v="48"/>
    <n v="2"/>
  </r>
  <r>
    <n v="5172"/>
    <x v="161"/>
    <x v="0"/>
    <x v="9"/>
    <n v="149341"/>
    <s v="2022-09-07"/>
    <x v="1"/>
    <n v="27"/>
    <n v="1"/>
  </r>
  <r>
    <n v="5173"/>
    <x v="162"/>
    <x v="9"/>
    <x v="2"/>
    <n v="69583"/>
    <s v="2016-06-14"/>
    <x v="0"/>
    <n v="29"/>
    <n v="3"/>
  </r>
  <r>
    <n v="5174"/>
    <x v="163"/>
    <x v="0"/>
    <x v="3"/>
    <n v="131323"/>
    <s v="2019-12-06"/>
    <x v="1"/>
    <n v="35"/>
    <n v="4"/>
  </r>
  <r>
    <n v="5175"/>
    <x v="164"/>
    <x v="4"/>
    <x v="6"/>
    <n v="123662"/>
    <s v="2018-04-10"/>
    <x v="0"/>
    <n v="21"/>
    <n v="3"/>
  </r>
  <r>
    <n v="5176"/>
    <x v="165"/>
    <x v="4"/>
    <x v="1"/>
    <n v="139133"/>
    <s v="2019-09-02"/>
    <x v="0"/>
    <n v="29"/>
    <n v="4"/>
  </r>
  <r>
    <n v="5177"/>
    <x v="166"/>
    <x v="7"/>
    <x v="4"/>
    <n v="117497"/>
    <s v="2019-04-15"/>
    <x v="0"/>
    <n v="34"/>
    <n v="4"/>
  </r>
  <r>
    <n v="5178"/>
    <x v="167"/>
    <x v="3"/>
    <x v="9"/>
    <n v="144199"/>
    <s v="2017-11-14"/>
    <x v="1"/>
    <n v="35"/>
    <n v="2"/>
  </r>
  <r>
    <n v="5179"/>
    <x v="168"/>
    <x v="4"/>
    <x v="0"/>
    <n v="145479"/>
    <s v="2016-11-04"/>
    <x v="0"/>
    <n v="52"/>
    <n v="5"/>
  </r>
  <r>
    <n v="5180"/>
    <x v="169"/>
    <x v="3"/>
    <x v="9"/>
    <n v="135427"/>
    <s v="2021-10-16"/>
    <x v="1"/>
    <n v="47"/>
    <n v="3"/>
  </r>
  <r>
    <n v="5181"/>
    <x v="170"/>
    <x v="8"/>
    <x v="9"/>
    <n v="30180"/>
    <s v="2021-08-20"/>
    <x v="1"/>
    <n v="40"/>
    <n v="2"/>
  </r>
  <r>
    <n v="5182"/>
    <x v="111"/>
    <x v="8"/>
    <x v="5"/>
    <n v="127267"/>
    <s v="2018-05-29"/>
    <x v="0"/>
    <n v="36"/>
    <n v="4"/>
  </r>
  <r>
    <n v="5183"/>
    <x v="171"/>
    <x v="6"/>
    <x v="1"/>
    <n v="66500"/>
    <s v="2019-06-20"/>
    <x v="0"/>
    <n v="28"/>
    <n v="2"/>
  </r>
  <r>
    <n v="5184"/>
    <x v="172"/>
    <x v="2"/>
    <x v="1"/>
    <n v="142695"/>
    <s v="2020-12-17"/>
    <x v="0"/>
    <n v="55"/>
    <n v="2"/>
  </r>
  <r>
    <n v="5185"/>
    <x v="173"/>
    <x v="6"/>
    <x v="5"/>
    <n v="87520"/>
    <s v="2019-07-20"/>
    <x v="1"/>
    <n v="49"/>
    <n v="3"/>
  </r>
  <r>
    <n v="5186"/>
    <x v="174"/>
    <x v="7"/>
    <x v="8"/>
    <n v="108414"/>
    <s v="2016-07-06"/>
    <x v="0"/>
    <n v="22"/>
    <n v="1"/>
  </r>
  <r>
    <n v="5187"/>
    <x v="175"/>
    <x v="7"/>
    <x v="5"/>
    <n v="121608"/>
    <s v="2021-09-27"/>
    <x v="1"/>
    <n v="47"/>
    <n v="1"/>
  </r>
  <r>
    <n v="5188"/>
    <x v="176"/>
    <x v="2"/>
    <x v="0"/>
    <n v="39392"/>
    <s v="2018-01-16"/>
    <x v="0"/>
    <n v="23"/>
    <n v="3"/>
  </r>
  <r>
    <n v="5189"/>
    <x v="57"/>
    <x v="9"/>
    <x v="0"/>
    <n v="52456"/>
    <s v="2021-08-24"/>
    <x v="0"/>
    <n v="35"/>
    <n v="3"/>
  </r>
  <r>
    <n v="5190"/>
    <x v="177"/>
    <x v="5"/>
    <x v="2"/>
    <n v="75886"/>
    <s v="2017-04-18"/>
    <x v="0"/>
    <n v="46"/>
    <n v="3"/>
  </r>
  <r>
    <n v="5191"/>
    <x v="178"/>
    <x v="4"/>
    <x v="6"/>
    <n v="48066"/>
    <s v="2023-08-24"/>
    <x v="2"/>
    <n v="29"/>
    <n v="1"/>
  </r>
  <r>
    <n v="5192"/>
    <x v="179"/>
    <x v="8"/>
    <x v="0"/>
    <n v="127655"/>
    <s v="2020-03-30"/>
    <x v="0"/>
    <n v="51"/>
    <n v="4"/>
  </r>
  <r>
    <n v="5193"/>
    <x v="180"/>
    <x v="5"/>
    <x v="6"/>
    <n v="69369"/>
    <s v="2020-02-14"/>
    <x v="1"/>
    <n v="36"/>
    <n v="1"/>
  </r>
  <r>
    <n v="5194"/>
    <x v="93"/>
    <x v="0"/>
    <x v="4"/>
    <n v="142370"/>
    <s v="2017-03-25"/>
    <x v="1"/>
    <n v="46"/>
    <n v="5"/>
  </r>
  <r>
    <n v="5195"/>
    <x v="181"/>
    <x v="9"/>
    <x v="4"/>
    <n v="32837"/>
    <s v="2017-04-23"/>
    <x v="1"/>
    <n v="49"/>
    <n v="3"/>
  </r>
  <r>
    <n v="5196"/>
    <x v="182"/>
    <x v="0"/>
    <x v="2"/>
    <n v="60419"/>
    <s v="2020-05-18"/>
    <x v="1"/>
    <n v="37"/>
    <n v="3"/>
  </r>
  <r>
    <n v="5197"/>
    <x v="183"/>
    <x v="5"/>
    <x v="5"/>
    <n v="116540"/>
    <s v="2023-07-24"/>
    <x v="2"/>
    <n v="32"/>
    <n v="4"/>
  </r>
  <r>
    <n v="5198"/>
    <x v="184"/>
    <x v="4"/>
    <x v="9"/>
    <n v="87520"/>
    <s v="2019-07-10"/>
    <x v="1"/>
    <n v="22"/>
    <n v="1"/>
  </r>
  <r>
    <n v="5199"/>
    <x v="30"/>
    <x v="8"/>
    <x v="7"/>
    <n v="41900"/>
    <s v="2016-12-07"/>
    <x v="1"/>
    <n v="27"/>
    <n v="1"/>
  </r>
  <r>
    <n v="5200"/>
    <x v="185"/>
    <x v="9"/>
    <x v="7"/>
    <n v="139949"/>
    <s v="2017-12-12"/>
    <x v="1"/>
    <n v="24"/>
    <n v="4"/>
  </r>
  <r>
    <n v="5201"/>
    <x v="43"/>
    <x v="7"/>
    <x v="8"/>
    <n v="70809"/>
    <s v="2016-07-21"/>
    <x v="0"/>
    <n v="22"/>
    <n v="3"/>
  </r>
  <r>
    <n v="5202"/>
    <x v="186"/>
    <x v="3"/>
    <x v="8"/>
    <n v="87520"/>
    <s v="2024-01-03"/>
    <x v="1"/>
    <n v="26"/>
    <n v="4"/>
  </r>
  <r>
    <n v="5203"/>
    <x v="187"/>
    <x v="0"/>
    <x v="8"/>
    <n v="51166"/>
    <s v="2023-11-02"/>
    <x v="0"/>
    <n v="24"/>
    <n v="2"/>
  </r>
  <r>
    <n v="5204"/>
    <x v="188"/>
    <x v="6"/>
    <x v="2"/>
    <n v="30539"/>
    <s v="2021-08-21"/>
    <x v="0"/>
    <n v="47"/>
    <n v="5"/>
  </r>
  <r>
    <n v="5205"/>
    <x v="189"/>
    <x v="4"/>
    <x v="4"/>
    <n v="41772"/>
    <s v="2023-04-02"/>
    <x v="1"/>
    <n v="21"/>
    <n v="1"/>
  </r>
  <r>
    <n v="5206"/>
    <x v="190"/>
    <x v="6"/>
    <x v="1"/>
    <n v="35141"/>
    <s v="2019-03-23"/>
    <x v="2"/>
    <n v="47"/>
    <n v="3"/>
  </r>
  <r>
    <n v="5207"/>
    <x v="191"/>
    <x v="1"/>
    <x v="2"/>
    <n v="48883"/>
    <s v="2018-11-08"/>
    <x v="1"/>
    <n v="48"/>
    <n v="3"/>
  </r>
  <r>
    <n v="5208"/>
    <x v="192"/>
    <x v="5"/>
    <x v="0"/>
    <n v="63601"/>
    <s v="2016-05-23"/>
    <x v="0"/>
    <n v="21"/>
    <n v="3"/>
  </r>
  <r>
    <n v="5209"/>
    <x v="180"/>
    <x v="6"/>
    <x v="2"/>
    <n v="141027"/>
    <s v="2022-06-25"/>
    <x v="2"/>
    <n v="39"/>
    <n v="1"/>
  </r>
  <r>
    <n v="5210"/>
    <x v="134"/>
    <x v="6"/>
    <x v="9"/>
    <n v="123422"/>
    <s v="2018-04-07"/>
    <x v="1"/>
    <n v="37"/>
    <n v="2"/>
  </r>
  <r>
    <n v="5211"/>
    <x v="193"/>
    <x v="9"/>
    <x v="4"/>
    <n v="65355"/>
    <s v="2022-09-05"/>
    <x v="1"/>
    <n v="55"/>
    <n v="1"/>
  </r>
  <r>
    <n v="5212"/>
    <x v="194"/>
    <x v="4"/>
    <x v="7"/>
    <n v="28183"/>
    <s v="2024-06-01"/>
    <x v="1"/>
    <n v="49"/>
    <n v="1"/>
  </r>
  <r>
    <n v="5213"/>
    <x v="195"/>
    <x v="2"/>
    <x v="4"/>
    <n v="32420"/>
    <s v="2020-02-04"/>
    <x v="0"/>
    <n v="49"/>
    <n v="1"/>
  </r>
  <r>
    <n v="5214"/>
    <x v="196"/>
    <x v="3"/>
    <x v="3"/>
    <n v="71553"/>
    <s v="2022-07-22"/>
    <x v="0"/>
    <n v="43"/>
    <n v="4"/>
  </r>
  <r>
    <n v="5215"/>
    <x v="132"/>
    <x v="0"/>
    <x v="2"/>
    <n v="104957"/>
    <s v="2023-07-27"/>
    <x v="1"/>
    <n v="39"/>
    <n v="4"/>
  </r>
  <r>
    <n v="5216"/>
    <x v="197"/>
    <x v="0"/>
    <x v="9"/>
    <n v="65066"/>
    <s v="2024-04-13"/>
    <x v="1"/>
    <n v="25"/>
    <n v="3"/>
  </r>
  <r>
    <n v="5217"/>
    <x v="198"/>
    <x v="1"/>
    <x v="6"/>
    <n v="31886"/>
    <s v="2021-12-20"/>
    <x v="0"/>
    <n v="49"/>
    <n v="2"/>
  </r>
  <r>
    <n v="5218"/>
    <x v="199"/>
    <x v="5"/>
    <x v="4"/>
    <n v="86586"/>
    <s v="2016-02-13"/>
    <x v="0"/>
    <n v="36"/>
    <n v="5"/>
  </r>
  <r>
    <n v="5219"/>
    <x v="200"/>
    <x v="8"/>
    <x v="0"/>
    <n v="110668"/>
    <s v="2016-10-08"/>
    <x v="0"/>
    <n v="44"/>
    <n v="4"/>
  </r>
  <r>
    <n v="5220"/>
    <x v="201"/>
    <x v="0"/>
    <x v="8"/>
    <n v="30515"/>
    <s v="2022-10-01"/>
    <x v="1"/>
    <n v="34"/>
    <n v="1"/>
  </r>
  <r>
    <n v="5221"/>
    <x v="202"/>
    <x v="3"/>
    <x v="9"/>
    <n v="140639"/>
    <s v="2024-09-23"/>
    <x v="1"/>
    <n v="24"/>
    <n v="3"/>
  </r>
  <r>
    <n v="5222"/>
    <x v="203"/>
    <x v="7"/>
    <x v="5"/>
    <n v="33023"/>
    <s v="2018-03-05"/>
    <x v="0"/>
    <n v="35"/>
    <n v="4"/>
  </r>
  <r>
    <n v="5223"/>
    <x v="204"/>
    <x v="2"/>
    <x v="3"/>
    <n v="55178"/>
    <s v="2024-05-28"/>
    <x v="1"/>
    <n v="53"/>
    <n v="3"/>
  </r>
  <r>
    <n v="5224"/>
    <x v="205"/>
    <x v="3"/>
    <x v="0"/>
    <n v="98794"/>
    <s v="2016-10-10"/>
    <x v="0"/>
    <n v="40"/>
    <n v="5"/>
  </r>
  <r>
    <n v="5225"/>
    <x v="206"/>
    <x v="5"/>
    <x v="0"/>
    <n v="29240"/>
    <s v="2016-11-06"/>
    <x v="1"/>
    <n v="30"/>
    <n v="4"/>
  </r>
  <r>
    <n v="5226"/>
    <x v="207"/>
    <x v="1"/>
    <x v="8"/>
    <n v="138335"/>
    <s v="2016-03-19"/>
    <x v="1"/>
    <n v="36"/>
    <n v="4"/>
  </r>
  <r>
    <n v="5227"/>
    <x v="208"/>
    <x v="4"/>
    <x v="2"/>
    <n v="104604"/>
    <s v="2016-03-01"/>
    <x v="1"/>
    <n v="52"/>
    <n v="5"/>
  </r>
  <r>
    <n v="5228"/>
    <x v="209"/>
    <x v="9"/>
    <x v="0"/>
    <n v="149203"/>
    <s v="2018-10-11"/>
    <x v="1"/>
    <n v="34"/>
    <n v="3"/>
  </r>
  <r>
    <n v="5229"/>
    <x v="210"/>
    <x v="9"/>
    <x v="8"/>
    <n v="120806"/>
    <s v="2023-02-26"/>
    <x v="0"/>
    <n v="42"/>
    <n v="5"/>
  </r>
  <r>
    <n v="5230"/>
    <x v="211"/>
    <x v="8"/>
    <x v="7"/>
    <n v="40807"/>
    <s v="2023-01-04"/>
    <x v="0"/>
    <n v="36"/>
    <n v="3"/>
  </r>
  <r>
    <n v="5231"/>
    <x v="212"/>
    <x v="5"/>
    <x v="7"/>
    <n v="43291"/>
    <s v="2023-07-01"/>
    <x v="2"/>
    <n v="46"/>
    <n v="3"/>
  </r>
  <r>
    <n v="5232"/>
    <x v="213"/>
    <x v="3"/>
    <x v="3"/>
    <n v="123603"/>
    <s v="2022-10-17"/>
    <x v="1"/>
    <n v="53"/>
    <n v="2"/>
  </r>
  <r>
    <n v="5233"/>
    <x v="214"/>
    <x v="9"/>
    <x v="7"/>
    <n v="35652"/>
    <s v="2017-08-06"/>
    <x v="1"/>
    <n v="39"/>
    <n v="2"/>
  </r>
  <r>
    <n v="5234"/>
    <x v="146"/>
    <x v="4"/>
    <x v="1"/>
    <n v="131775"/>
    <s v="2022-11-19"/>
    <x v="0"/>
    <n v="34"/>
    <n v="2"/>
  </r>
  <r>
    <n v="5235"/>
    <x v="215"/>
    <x v="3"/>
    <x v="4"/>
    <n v="109480"/>
    <s v="2018-11-13"/>
    <x v="0"/>
    <n v="39"/>
    <n v="5"/>
  </r>
  <r>
    <n v="5236"/>
    <x v="61"/>
    <x v="6"/>
    <x v="3"/>
    <n v="117496"/>
    <s v="2019-01-25"/>
    <x v="1"/>
    <n v="33"/>
    <n v="2"/>
  </r>
  <r>
    <n v="5237"/>
    <x v="216"/>
    <x v="0"/>
    <x v="6"/>
    <n v="67263"/>
    <s v="2019-10-11"/>
    <x v="0"/>
    <n v="25"/>
    <n v="4"/>
  </r>
  <r>
    <n v="5238"/>
    <x v="217"/>
    <x v="6"/>
    <x v="0"/>
    <n v="131587"/>
    <s v="2021-07-08"/>
    <x v="2"/>
    <n v="24"/>
    <n v="4"/>
  </r>
  <r>
    <n v="5239"/>
    <x v="218"/>
    <x v="6"/>
    <x v="8"/>
    <n v="141974"/>
    <s v="2022-05-13"/>
    <x v="1"/>
    <n v="33"/>
    <n v="4"/>
  </r>
  <r>
    <n v="5240"/>
    <x v="219"/>
    <x v="2"/>
    <x v="7"/>
    <n v="142236"/>
    <s v="2017-12-30"/>
    <x v="1"/>
    <n v="38"/>
    <n v="3"/>
  </r>
  <r>
    <n v="5241"/>
    <x v="220"/>
    <x v="5"/>
    <x v="8"/>
    <n v="101968"/>
    <s v="2016-11-18"/>
    <x v="0"/>
    <n v="23"/>
    <n v="4"/>
  </r>
  <r>
    <n v="5242"/>
    <x v="221"/>
    <x v="5"/>
    <x v="9"/>
    <n v="87520"/>
    <s v="2024-09-18"/>
    <x v="1"/>
    <n v="26"/>
    <n v="5"/>
  </r>
  <r>
    <n v="5243"/>
    <x v="69"/>
    <x v="6"/>
    <x v="0"/>
    <n v="87520"/>
    <s v="2016-04-27"/>
    <x v="2"/>
    <n v="47"/>
    <n v="5"/>
  </r>
  <r>
    <n v="5244"/>
    <x v="222"/>
    <x v="7"/>
    <x v="4"/>
    <n v="59690"/>
    <s v="2022-10-08"/>
    <x v="0"/>
    <n v="43"/>
    <n v="2"/>
  </r>
  <r>
    <n v="5245"/>
    <x v="223"/>
    <x v="9"/>
    <x v="9"/>
    <n v="50626"/>
    <s v="2018-02-08"/>
    <x v="0"/>
    <n v="25"/>
    <n v="2"/>
  </r>
  <r>
    <n v="5246"/>
    <x v="224"/>
    <x v="7"/>
    <x v="5"/>
    <n v="57993"/>
    <s v="2021-07-19"/>
    <x v="0"/>
    <n v="51"/>
    <n v="2"/>
  </r>
  <r>
    <n v="5247"/>
    <x v="225"/>
    <x v="4"/>
    <x v="7"/>
    <n v="43458"/>
    <s v="2024-08-02"/>
    <x v="0"/>
    <n v="55"/>
    <n v="1"/>
  </r>
  <r>
    <n v="5248"/>
    <x v="226"/>
    <x v="5"/>
    <x v="3"/>
    <n v="41744"/>
    <s v="2024-10-08"/>
    <x v="1"/>
    <n v="24"/>
    <n v="5"/>
  </r>
  <r>
    <n v="5249"/>
    <x v="227"/>
    <x v="6"/>
    <x v="1"/>
    <n v="144132"/>
    <s v="2017-11-10"/>
    <x v="0"/>
    <n v="43"/>
    <n v="4"/>
  </r>
  <r>
    <n v="5250"/>
    <x v="228"/>
    <x v="4"/>
    <x v="4"/>
    <n v="133598"/>
    <s v="2022-03-31"/>
    <x v="0"/>
    <n v="42"/>
    <n v="2"/>
  </r>
  <r>
    <n v="5251"/>
    <x v="229"/>
    <x v="6"/>
    <x v="1"/>
    <n v="31030"/>
    <s v="2017-07-10"/>
    <x v="1"/>
    <n v="39"/>
    <n v="2"/>
  </r>
  <r>
    <n v="5252"/>
    <x v="230"/>
    <x v="4"/>
    <x v="1"/>
    <n v="87520"/>
    <s v="2020-08-20"/>
    <x v="1"/>
    <n v="39"/>
    <n v="1"/>
  </r>
  <r>
    <n v="5253"/>
    <x v="231"/>
    <x v="9"/>
    <x v="3"/>
    <n v="60760"/>
    <s v="2019-05-12"/>
    <x v="0"/>
    <n v="31"/>
    <n v="3"/>
  </r>
  <r>
    <n v="5254"/>
    <x v="232"/>
    <x v="6"/>
    <x v="3"/>
    <n v="66409"/>
    <s v="2020-10-15"/>
    <x v="0"/>
    <n v="22"/>
    <n v="5"/>
  </r>
  <r>
    <n v="5255"/>
    <x v="233"/>
    <x v="6"/>
    <x v="4"/>
    <n v="50296"/>
    <s v="2018-08-13"/>
    <x v="1"/>
    <n v="24"/>
    <n v="5"/>
  </r>
  <r>
    <n v="5256"/>
    <x v="234"/>
    <x v="6"/>
    <x v="9"/>
    <n v="111119"/>
    <s v="2022-02-04"/>
    <x v="0"/>
    <n v="32"/>
    <n v="2"/>
  </r>
  <r>
    <n v="5257"/>
    <x v="235"/>
    <x v="1"/>
    <x v="8"/>
    <n v="44753"/>
    <s v="2017-08-22"/>
    <x v="1"/>
    <n v="36"/>
    <n v="5"/>
  </r>
  <r>
    <n v="5258"/>
    <x v="236"/>
    <x v="9"/>
    <x v="8"/>
    <n v="76985"/>
    <s v="2017-12-22"/>
    <x v="1"/>
    <n v="50"/>
    <n v="3"/>
  </r>
  <r>
    <n v="5259"/>
    <x v="237"/>
    <x v="6"/>
    <x v="9"/>
    <n v="62530"/>
    <s v="2021-11-17"/>
    <x v="1"/>
    <n v="48"/>
    <n v="5"/>
  </r>
  <r>
    <n v="5260"/>
    <x v="18"/>
    <x v="7"/>
    <x v="6"/>
    <n v="32193"/>
    <s v="2022-07-01"/>
    <x v="1"/>
    <n v="51"/>
    <n v="3"/>
  </r>
  <r>
    <n v="5261"/>
    <x v="215"/>
    <x v="8"/>
    <x v="5"/>
    <n v="124273"/>
    <s v="2025-01-10"/>
    <x v="0"/>
    <n v="39"/>
    <n v="3"/>
  </r>
  <r>
    <n v="5262"/>
    <x v="238"/>
    <x v="9"/>
    <x v="5"/>
    <n v="112122"/>
    <s v="2020-09-04"/>
    <x v="1"/>
    <n v="50"/>
    <n v="5"/>
  </r>
  <r>
    <n v="5263"/>
    <x v="167"/>
    <x v="1"/>
    <x v="5"/>
    <n v="106826"/>
    <s v="2017-03-10"/>
    <x v="1"/>
    <n v="28"/>
    <n v="3"/>
  </r>
  <r>
    <n v="5264"/>
    <x v="30"/>
    <x v="9"/>
    <x v="1"/>
    <n v="141641"/>
    <s v="2023-12-22"/>
    <x v="1"/>
    <n v="36"/>
    <n v="3"/>
  </r>
  <r>
    <n v="5265"/>
    <x v="239"/>
    <x v="0"/>
    <x v="1"/>
    <n v="88207"/>
    <s v="2022-02-27"/>
    <x v="1"/>
    <n v="52"/>
    <n v="3"/>
  </r>
  <r>
    <n v="5266"/>
    <x v="240"/>
    <x v="9"/>
    <x v="5"/>
    <n v="84033"/>
    <s v="2016-07-24"/>
    <x v="0"/>
    <n v="26"/>
    <n v="1"/>
  </r>
  <r>
    <n v="5267"/>
    <x v="241"/>
    <x v="9"/>
    <x v="9"/>
    <n v="144476"/>
    <s v="2018-04-10"/>
    <x v="0"/>
    <n v="51"/>
    <n v="4"/>
  </r>
  <r>
    <n v="5268"/>
    <x v="154"/>
    <x v="5"/>
    <x v="2"/>
    <n v="31727"/>
    <s v="2021-12-06"/>
    <x v="0"/>
    <n v="26"/>
    <n v="3"/>
  </r>
  <r>
    <n v="5269"/>
    <x v="242"/>
    <x v="1"/>
    <x v="0"/>
    <n v="104756"/>
    <s v="2022-09-21"/>
    <x v="1"/>
    <n v="23"/>
    <n v="2"/>
  </r>
  <r>
    <n v="5270"/>
    <x v="243"/>
    <x v="0"/>
    <x v="1"/>
    <n v="138680"/>
    <s v="2022-09-18"/>
    <x v="1"/>
    <n v="53"/>
    <n v="3"/>
  </r>
  <r>
    <n v="5271"/>
    <x v="229"/>
    <x v="8"/>
    <x v="8"/>
    <n v="145442"/>
    <s v="2021-10-05"/>
    <x v="1"/>
    <n v="53"/>
    <n v="3"/>
  </r>
  <r>
    <n v="5272"/>
    <x v="244"/>
    <x v="8"/>
    <x v="6"/>
    <n v="85657"/>
    <s v="2023-05-31"/>
    <x v="0"/>
    <n v="26"/>
    <n v="5"/>
  </r>
  <r>
    <n v="5273"/>
    <x v="245"/>
    <x v="9"/>
    <x v="0"/>
    <n v="36421"/>
    <s v="2021-07-14"/>
    <x v="1"/>
    <n v="48"/>
    <n v="1"/>
  </r>
  <r>
    <n v="5274"/>
    <x v="246"/>
    <x v="4"/>
    <x v="9"/>
    <n v="105777"/>
    <s v="2018-04-22"/>
    <x v="1"/>
    <n v="23"/>
    <n v="1"/>
  </r>
  <r>
    <n v="5275"/>
    <x v="121"/>
    <x v="2"/>
    <x v="1"/>
    <n v="145933"/>
    <s v="2020-01-06"/>
    <x v="1"/>
    <n v="30"/>
    <n v="5"/>
  </r>
  <r>
    <n v="5276"/>
    <x v="233"/>
    <x v="4"/>
    <x v="9"/>
    <n v="87520"/>
    <s v="2021-03-14"/>
    <x v="1"/>
    <n v="44"/>
    <n v="5"/>
  </r>
  <r>
    <n v="5277"/>
    <x v="247"/>
    <x v="2"/>
    <x v="9"/>
    <n v="32490"/>
    <s v="2016-05-04"/>
    <x v="0"/>
    <n v="50"/>
    <n v="5"/>
  </r>
  <r>
    <n v="5278"/>
    <x v="248"/>
    <x v="1"/>
    <x v="8"/>
    <n v="32067"/>
    <s v="2023-10-09"/>
    <x v="1"/>
    <n v="44"/>
    <n v="2"/>
  </r>
  <r>
    <n v="5279"/>
    <x v="209"/>
    <x v="9"/>
    <x v="0"/>
    <n v="140864"/>
    <s v="2018-05-28"/>
    <x v="0"/>
    <n v="49"/>
    <n v="2"/>
  </r>
  <r>
    <n v="5280"/>
    <x v="249"/>
    <x v="8"/>
    <x v="9"/>
    <n v="38162"/>
    <s v="2024-11-15"/>
    <x v="1"/>
    <n v="52"/>
    <n v="5"/>
  </r>
  <r>
    <n v="5281"/>
    <x v="250"/>
    <x v="7"/>
    <x v="1"/>
    <n v="138721"/>
    <s v="2019-02-03"/>
    <x v="0"/>
    <n v="47"/>
    <n v="4"/>
  </r>
  <r>
    <n v="5282"/>
    <x v="251"/>
    <x v="4"/>
    <x v="6"/>
    <n v="83253"/>
    <s v="2023-09-24"/>
    <x v="1"/>
    <n v="53"/>
    <n v="1"/>
  </r>
  <r>
    <n v="5283"/>
    <x v="252"/>
    <x v="3"/>
    <x v="6"/>
    <n v="70473"/>
    <s v="2017-01-09"/>
    <x v="0"/>
    <n v="22"/>
    <n v="5"/>
  </r>
  <r>
    <n v="5284"/>
    <x v="253"/>
    <x v="3"/>
    <x v="0"/>
    <n v="59419"/>
    <s v="2018-10-15"/>
    <x v="0"/>
    <n v="47"/>
    <n v="1"/>
  </r>
  <r>
    <n v="5285"/>
    <x v="254"/>
    <x v="5"/>
    <x v="6"/>
    <n v="142187"/>
    <s v="2017-04-14"/>
    <x v="1"/>
    <n v="47"/>
    <n v="1"/>
  </r>
  <r>
    <n v="5286"/>
    <x v="212"/>
    <x v="2"/>
    <x v="0"/>
    <n v="83784"/>
    <s v="2020-04-14"/>
    <x v="1"/>
    <n v="54"/>
    <n v="1"/>
  </r>
  <r>
    <n v="5287"/>
    <x v="255"/>
    <x v="4"/>
    <x v="2"/>
    <n v="95956"/>
    <s v="2023-05-09"/>
    <x v="1"/>
    <n v="46"/>
    <n v="3"/>
  </r>
  <r>
    <n v="5288"/>
    <x v="81"/>
    <x v="7"/>
    <x v="7"/>
    <n v="84030"/>
    <s v="2023-07-02"/>
    <x v="0"/>
    <n v="29"/>
    <n v="5"/>
  </r>
  <r>
    <n v="5289"/>
    <x v="137"/>
    <x v="5"/>
    <x v="1"/>
    <n v="145903"/>
    <s v="2020-09-02"/>
    <x v="1"/>
    <n v="53"/>
    <n v="2"/>
  </r>
  <r>
    <n v="5290"/>
    <x v="100"/>
    <x v="9"/>
    <x v="2"/>
    <n v="70825"/>
    <s v="2016-03-26"/>
    <x v="0"/>
    <n v="48"/>
    <n v="3"/>
  </r>
  <r>
    <n v="5291"/>
    <x v="256"/>
    <x v="4"/>
    <x v="0"/>
    <n v="44278"/>
    <s v="2020-04-03"/>
    <x v="1"/>
    <n v="54"/>
    <n v="2"/>
  </r>
  <r>
    <n v="5292"/>
    <x v="257"/>
    <x v="2"/>
    <x v="0"/>
    <n v="87520"/>
    <s v="2017-08-29"/>
    <x v="1"/>
    <n v="29"/>
    <n v="3"/>
  </r>
  <r>
    <n v="5293"/>
    <x v="258"/>
    <x v="2"/>
    <x v="3"/>
    <n v="44511"/>
    <s v="2017-04-28"/>
    <x v="0"/>
    <n v="42"/>
    <n v="2"/>
  </r>
  <r>
    <n v="5294"/>
    <x v="259"/>
    <x v="5"/>
    <x v="4"/>
    <n v="101263"/>
    <s v="2023-04-13"/>
    <x v="1"/>
    <n v="51"/>
    <n v="1"/>
  </r>
  <r>
    <n v="5295"/>
    <x v="260"/>
    <x v="3"/>
    <x v="2"/>
    <n v="75653"/>
    <s v="2023-05-12"/>
    <x v="0"/>
    <n v="31"/>
    <n v="2"/>
  </r>
  <r>
    <n v="5296"/>
    <x v="261"/>
    <x v="6"/>
    <x v="4"/>
    <n v="58174"/>
    <s v="2022-06-22"/>
    <x v="1"/>
    <n v="53"/>
    <n v="5"/>
  </r>
  <r>
    <n v="5297"/>
    <x v="262"/>
    <x v="6"/>
    <x v="2"/>
    <n v="80568"/>
    <s v="2022-09-17"/>
    <x v="1"/>
    <n v="38"/>
    <n v="5"/>
  </r>
  <r>
    <n v="5298"/>
    <x v="263"/>
    <x v="2"/>
    <x v="2"/>
    <n v="115669"/>
    <s v="2023-06-22"/>
    <x v="0"/>
    <n v="42"/>
    <n v="4"/>
  </r>
  <r>
    <n v="5299"/>
    <x v="264"/>
    <x v="9"/>
    <x v="9"/>
    <n v="129353"/>
    <s v="2023-05-13"/>
    <x v="1"/>
    <n v="55"/>
    <n v="1"/>
  </r>
  <r>
    <n v="5300"/>
    <x v="265"/>
    <x v="2"/>
    <x v="5"/>
    <n v="120254"/>
    <s v="2016-02-13"/>
    <x v="0"/>
    <n v="24"/>
    <n v="3"/>
  </r>
  <r>
    <n v="5301"/>
    <x v="266"/>
    <x v="6"/>
    <x v="3"/>
    <n v="72704"/>
    <s v="2017-03-13"/>
    <x v="0"/>
    <n v="45"/>
    <n v="2"/>
  </r>
  <r>
    <n v="5302"/>
    <x v="262"/>
    <x v="2"/>
    <x v="5"/>
    <n v="87520"/>
    <s v="2020-11-12"/>
    <x v="1"/>
    <n v="35"/>
    <n v="1"/>
  </r>
  <r>
    <n v="5303"/>
    <x v="132"/>
    <x v="1"/>
    <x v="9"/>
    <n v="32819"/>
    <s v="2019-11-04"/>
    <x v="0"/>
    <n v="41"/>
    <n v="1"/>
  </r>
  <r>
    <n v="5304"/>
    <x v="267"/>
    <x v="6"/>
    <x v="1"/>
    <n v="142930"/>
    <s v="2017-11-01"/>
    <x v="1"/>
    <n v="38"/>
    <n v="4"/>
  </r>
  <r>
    <n v="5305"/>
    <x v="268"/>
    <x v="8"/>
    <x v="0"/>
    <n v="132832"/>
    <s v="2023-04-03"/>
    <x v="0"/>
    <n v="30"/>
    <n v="1"/>
  </r>
  <r>
    <n v="5306"/>
    <x v="269"/>
    <x v="4"/>
    <x v="9"/>
    <n v="102571"/>
    <s v="2021-01-13"/>
    <x v="1"/>
    <n v="35"/>
    <n v="5"/>
  </r>
  <r>
    <n v="5307"/>
    <x v="249"/>
    <x v="5"/>
    <x v="3"/>
    <n v="147903"/>
    <s v="2018-03-13"/>
    <x v="0"/>
    <n v="44"/>
    <n v="5"/>
  </r>
  <r>
    <n v="5308"/>
    <x v="270"/>
    <x v="0"/>
    <x v="2"/>
    <n v="123593"/>
    <s v="2020-06-05"/>
    <x v="1"/>
    <n v="55"/>
    <n v="4"/>
  </r>
  <r>
    <n v="5309"/>
    <x v="271"/>
    <x v="4"/>
    <x v="6"/>
    <n v="42357"/>
    <s v="2024-10-25"/>
    <x v="1"/>
    <n v="41"/>
    <n v="1"/>
  </r>
  <r>
    <n v="5310"/>
    <x v="272"/>
    <x v="3"/>
    <x v="1"/>
    <n v="72102"/>
    <s v="2020-05-05"/>
    <x v="1"/>
    <n v="23"/>
    <n v="1"/>
  </r>
  <r>
    <n v="5311"/>
    <x v="11"/>
    <x v="1"/>
    <x v="6"/>
    <n v="128977"/>
    <s v="2019-11-17"/>
    <x v="0"/>
    <n v="39"/>
    <n v="1"/>
  </r>
  <r>
    <n v="5312"/>
    <x v="273"/>
    <x v="6"/>
    <x v="1"/>
    <n v="78518"/>
    <s v="2024-10-16"/>
    <x v="1"/>
    <n v="24"/>
    <n v="1"/>
  </r>
  <r>
    <n v="5313"/>
    <x v="274"/>
    <x v="7"/>
    <x v="0"/>
    <n v="119009"/>
    <s v="2020-12-20"/>
    <x v="0"/>
    <n v="45"/>
    <n v="4"/>
  </r>
  <r>
    <n v="5314"/>
    <x v="275"/>
    <x v="5"/>
    <x v="0"/>
    <n v="75528"/>
    <s v="2022-06-19"/>
    <x v="1"/>
    <n v="50"/>
    <n v="1"/>
  </r>
  <r>
    <n v="5315"/>
    <x v="276"/>
    <x v="5"/>
    <x v="3"/>
    <n v="47180"/>
    <s v="2019-03-14"/>
    <x v="1"/>
    <n v="36"/>
    <n v="1"/>
  </r>
  <r>
    <n v="5316"/>
    <x v="277"/>
    <x v="4"/>
    <x v="4"/>
    <n v="29113"/>
    <s v="2019-05-24"/>
    <x v="0"/>
    <n v="26"/>
    <n v="4"/>
  </r>
  <r>
    <n v="5317"/>
    <x v="278"/>
    <x v="1"/>
    <x v="9"/>
    <n v="29479"/>
    <s v="2018-04-16"/>
    <x v="1"/>
    <n v="43"/>
    <n v="2"/>
  </r>
  <r>
    <n v="5318"/>
    <x v="233"/>
    <x v="4"/>
    <x v="0"/>
    <n v="116244"/>
    <s v="2017-03-06"/>
    <x v="0"/>
    <n v="49"/>
    <n v="4"/>
  </r>
  <r>
    <n v="5319"/>
    <x v="279"/>
    <x v="3"/>
    <x v="3"/>
    <n v="87099"/>
    <s v="2023-06-20"/>
    <x v="0"/>
    <n v="41"/>
    <n v="2"/>
  </r>
  <r>
    <n v="5320"/>
    <x v="280"/>
    <x v="3"/>
    <x v="9"/>
    <n v="132402"/>
    <s v="2021-06-14"/>
    <x v="1"/>
    <n v="35"/>
    <n v="2"/>
  </r>
  <r>
    <n v="5321"/>
    <x v="236"/>
    <x v="3"/>
    <x v="6"/>
    <n v="78154"/>
    <s v="2017-02-03"/>
    <x v="0"/>
    <n v="23"/>
    <n v="2"/>
  </r>
  <r>
    <n v="5322"/>
    <x v="149"/>
    <x v="7"/>
    <x v="9"/>
    <n v="53168"/>
    <s v="2019-05-11"/>
    <x v="1"/>
    <n v="21"/>
    <n v="4"/>
  </r>
  <r>
    <n v="5323"/>
    <x v="51"/>
    <x v="3"/>
    <x v="3"/>
    <n v="140175"/>
    <s v="2023-07-17"/>
    <x v="0"/>
    <n v="23"/>
    <n v="1"/>
  </r>
  <r>
    <n v="5324"/>
    <x v="281"/>
    <x v="4"/>
    <x v="3"/>
    <n v="49859"/>
    <s v="2016-08-21"/>
    <x v="0"/>
    <n v="47"/>
    <n v="4"/>
  </r>
  <r>
    <n v="5325"/>
    <x v="282"/>
    <x v="4"/>
    <x v="5"/>
    <n v="47883"/>
    <s v="2020-02-10"/>
    <x v="0"/>
    <n v="45"/>
    <n v="3"/>
  </r>
  <r>
    <n v="5326"/>
    <x v="33"/>
    <x v="1"/>
    <x v="5"/>
    <n v="109015"/>
    <s v="2018-12-18"/>
    <x v="1"/>
    <n v="39"/>
    <n v="4"/>
  </r>
  <r>
    <n v="5327"/>
    <x v="283"/>
    <x v="9"/>
    <x v="9"/>
    <n v="53405"/>
    <s v="2016-03-13"/>
    <x v="0"/>
    <n v="44"/>
    <n v="3"/>
  </r>
  <r>
    <n v="5328"/>
    <x v="284"/>
    <x v="7"/>
    <x v="9"/>
    <n v="117286"/>
    <s v="2022-12-21"/>
    <x v="0"/>
    <n v="31"/>
    <n v="4"/>
  </r>
  <r>
    <n v="5329"/>
    <x v="285"/>
    <x v="6"/>
    <x v="1"/>
    <n v="87836"/>
    <s v="2018-08-13"/>
    <x v="0"/>
    <n v="54"/>
    <n v="5"/>
  </r>
  <r>
    <n v="5330"/>
    <x v="286"/>
    <x v="9"/>
    <x v="5"/>
    <n v="37902"/>
    <s v="2020-12-07"/>
    <x v="0"/>
    <n v="45"/>
    <n v="1"/>
  </r>
  <r>
    <n v="5331"/>
    <x v="287"/>
    <x v="3"/>
    <x v="5"/>
    <n v="87520"/>
    <s v="2024-05-13"/>
    <x v="0"/>
    <n v="53"/>
    <n v="3"/>
  </r>
  <r>
    <n v="5332"/>
    <x v="81"/>
    <x v="1"/>
    <x v="0"/>
    <n v="85529"/>
    <s v="2022-09-06"/>
    <x v="1"/>
    <n v="30"/>
    <n v="1"/>
  </r>
  <r>
    <n v="5333"/>
    <x v="288"/>
    <x v="3"/>
    <x v="4"/>
    <n v="148461"/>
    <s v="2023-08-24"/>
    <x v="1"/>
    <n v="38"/>
    <n v="5"/>
  </r>
  <r>
    <n v="5334"/>
    <x v="289"/>
    <x v="3"/>
    <x v="2"/>
    <n v="58607"/>
    <s v="2020-03-13"/>
    <x v="0"/>
    <n v="33"/>
    <n v="5"/>
  </r>
  <r>
    <n v="5335"/>
    <x v="290"/>
    <x v="1"/>
    <x v="8"/>
    <n v="87520"/>
    <s v="2020-11-18"/>
    <x v="1"/>
    <n v="21"/>
    <n v="2"/>
  </r>
  <r>
    <n v="5336"/>
    <x v="291"/>
    <x v="2"/>
    <x v="4"/>
    <n v="93365"/>
    <s v="2016-08-19"/>
    <x v="1"/>
    <n v="42"/>
    <n v="2"/>
  </r>
  <r>
    <n v="5337"/>
    <x v="292"/>
    <x v="5"/>
    <x v="3"/>
    <n v="87520"/>
    <s v="2023-06-15"/>
    <x v="0"/>
    <n v="27"/>
    <n v="2"/>
  </r>
  <r>
    <n v="5338"/>
    <x v="293"/>
    <x v="6"/>
    <x v="4"/>
    <n v="87520"/>
    <s v="2019-08-18"/>
    <x v="1"/>
    <n v="38"/>
    <n v="4"/>
  </r>
  <r>
    <n v="5339"/>
    <x v="294"/>
    <x v="0"/>
    <x v="9"/>
    <n v="90204"/>
    <s v="2022-08-12"/>
    <x v="0"/>
    <n v="55"/>
    <n v="1"/>
  </r>
  <r>
    <n v="5340"/>
    <x v="295"/>
    <x v="2"/>
    <x v="5"/>
    <n v="111188"/>
    <s v="2021-06-05"/>
    <x v="1"/>
    <n v="39"/>
    <n v="5"/>
  </r>
  <r>
    <n v="5341"/>
    <x v="296"/>
    <x v="8"/>
    <x v="9"/>
    <n v="82781"/>
    <s v="2022-07-13"/>
    <x v="1"/>
    <n v="39"/>
    <n v="3"/>
  </r>
  <r>
    <n v="5342"/>
    <x v="297"/>
    <x v="9"/>
    <x v="0"/>
    <n v="87520"/>
    <s v="2023-04-21"/>
    <x v="0"/>
    <n v="46"/>
    <n v="3"/>
  </r>
  <r>
    <n v="5343"/>
    <x v="221"/>
    <x v="8"/>
    <x v="8"/>
    <n v="135807"/>
    <s v="2019-01-06"/>
    <x v="2"/>
    <n v="38"/>
    <n v="1"/>
  </r>
  <r>
    <n v="5344"/>
    <x v="298"/>
    <x v="7"/>
    <x v="2"/>
    <n v="88139"/>
    <s v="2021-09-27"/>
    <x v="1"/>
    <n v="39"/>
    <n v="5"/>
  </r>
  <r>
    <n v="5345"/>
    <x v="98"/>
    <x v="2"/>
    <x v="2"/>
    <n v="54869"/>
    <s v="2024-05-14"/>
    <x v="1"/>
    <n v="21"/>
    <n v="4"/>
  </r>
  <r>
    <n v="5346"/>
    <x v="299"/>
    <x v="9"/>
    <x v="3"/>
    <n v="139347"/>
    <s v="2021-01-27"/>
    <x v="0"/>
    <n v="33"/>
    <n v="1"/>
  </r>
  <r>
    <n v="5347"/>
    <x v="300"/>
    <x v="1"/>
    <x v="3"/>
    <n v="87520"/>
    <s v="2019-09-21"/>
    <x v="1"/>
    <n v="21"/>
    <n v="5"/>
  </r>
  <r>
    <n v="5348"/>
    <x v="301"/>
    <x v="9"/>
    <x v="3"/>
    <n v="144071"/>
    <s v="2017-01-07"/>
    <x v="1"/>
    <n v="39"/>
    <n v="1"/>
  </r>
  <r>
    <n v="5349"/>
    <x v="8"/>
    <x v="3"/>
    <x v="1"/>
    <n v="56117"/>
    <s v="2016-06-03"/>
    <x v="1"/>
    <n v="40"/>
    <n v="1"/>
  </r>
  <r>
    <n v="5350"/>
    <x v="127"/>
    <x v="9"/>
    <x v="0"/>
    <n v="65585"/>
    <s v="2022-02-27"/>
    <x v="1"/>
    <n v="43"/>
    <n v="4"/>
  </r>
  <r>
    <n v="5351"/>
    <x v="302"/>
    <x v="1"/>
    <x v="8"/>
    <n v="90522"/>
    <s v="2018-11-03"/>
    <x v="0"/>
    <n v="37"/>
    <n v="3"/>
  </r>
  <r>
    <n v="5352"/>
    <x v="303"/>
    <x v="8"/>
    <x v="9"/>
    <n v="88027"/>
    <s v="2021-05-07"/>
    <x v="1"/>
    <n v="27"/>
    <n v="3"/>
  </r>
  <r>
    <n v="5353"/>
    <x v="304"/>
    <x v="1"/>
    <x v="2"/>
    <n v="106716"/>
    <s v="2023-06-15"/>
    <x v="0"/>
    <n v="28"/>
    <n v="4"/>
  </r>
  <r>
    <n v="5354"/>
    <x v="305"/>
    <x v="3"/>
    <x v="7"/>
    <n v="52893"/>
    <s v="2018-07-25"/>
    <x v="0"/>
    <n v="26"/>
    <n v="1"/>
  </r>
  <r>
    <n v="5355"/>
    <x v="306"/>
    <x v="1"/>
    <x v="2"/>
    <n v="132034"/>
    <s v="2019-05-05"/>
    <x v="0"/>
    <n v="24"/>
    <n v="5"/>
  </r>
  <r>
    <n v="5356"/>
    <x v="307"/>
    <x v="7"/>
    <x v="0"/>
    <n v="73253"/>
    <s v="2017-06-19"/>
    <x v="0"/>
    <n v="39"/>
    <n v="4"/>
  </r>
  <r>
    <n v="5357"/>
    <x v="308"/>
    <x v="6"/>
    <x v="2"/>
    <n v="128803"/>
    <s v="2022-12-05"/>
    <x v="1"/>
    <n v="36"/>
    <n v="3"/>
  </r>
  <r>
    <n v="5358"/>
    <x v="307"/>
    <x v="0"/>
    <x v="5"/>
    <n v="146266"/>
    <s v="2024-01-21"/>
    <x v="1"/>
    <n v="32"/>
    <n v="2"/>
  </r>
  <r>
    <n v="5359"/>
    <x v="105"/>
    <x v="1"/>
    <x v="7"/>
    <n v="118206"/>
    <s v="2019-11-27"/>
    <x v="0"/>
    <n v="51"/>
    <n v="2"/>
  </r>
  <r>
    <n v="5360"/>
    <x v="309"/>
    <x v="4"/>
    <x v="5"/>
    <n v="96320"/>
    <s v="2016-05-10"/>
    <x v="1"/>
    <n v="36"/>
    <n v="2"/>
  </r>
  <r>
    <n v="5361"/>
    <x v="127"/>
    <x v="2"/>
    <x v="8"/>
    <n v="124084"/>
    <s v="2023-05-27"/>
    <x v="1"/>
    <n v="21"/>
    <n v="5"/>
  </r>
  <r>
    <n v="5362"/>
    <x v="310"/>
    <x v="3"/>
    <x v="9"/>
    <n v="110567"/>
    <s v="2020-09-30"/>
    <x v="0"/>
    <n v="24"/>
    <n v="2"/>
  </r>
  <r>
    <n v="5363"/>
    <x v="311"/>
    <x v="1"/>
    <x v="5"/>
    <n v="69477"/>
    <s v="2023-09-17"/>
    <x v="0"/>
    <n v="48"/>
    <n v="4"/>
  </r>
  <r>
    <n v="5364"/>
    <x v="312"/>
    <x v="0"/>
    <x v="8"/>
    <n v="85797"/>
    <s v="2018-08-24"/>
    <x v="0"/>
    <n v="30"/>
    <n v="2"/>
  </r>
  <r>
    <n v="5365"/>
    <x v="313"/>
    <x v="5"/>
    <x v="6"/>
    <n v="102634"/>
    <s v="2020-09-07"/>
    <x v="0"/>
    <n v="47"/>
    <n v="4"/>
  </r>
  <r>
    <n v="5366"/>
    <x v="200"/>
    <x v="1"/>
    <x v="2"/>
    <n v="92682"/>
    <s v="2023-03-07"/>
    <x v="0"/>
    <n v="55"/>
    <n v="4"/>
  </r>
  <r>
    <n v="5367"/>
    <x v="314"/>
    <x v="3"/>
    <x v="9"/>
    <n v="87520"/>
    <s v="2018-01-22"/>
    <x v="0"/>
    <n v="48"/>
    <n v="5"/>
  </r>
  <r>
    <n v="5368"/>
    <x v="315"/>
    <x v="1"/>
    <x v="6"/>
    <n v="91415"/>
    <s v="2022-07-29"/>
    <x v="0"/>
    <n v="38"/>
    <n v="3"/>
  </r>
  <r>
    <n v="5369"/>
    <x v="316"/>
    <x v="7"/>
    <x v="8"/>
    <n v="44918"/>
    <s v="2021-07-25"/>
    <x v="1"/>
    <n v="46"/>
    <n v="2"/>
  </r>
  <r>
    <n v="5370"/>
    <x v="317"/>
    <x v="2"/>
    <x v="3"/>
    <n v="137988"/>
    <s v="2025-01-06"/>
    <x v="0"/>
    <n v="23"/>
    <n v="5"/>
  </r>
  <r>
    <n v="5371"/>
    <x v="247"/>
    <x v="0"/>
    <x v="9"/>
    <n v="35871"/>
    <s v="2019-08-15"/>
    <x v="1"/>
    <n v="49"/>
    <n v="4"/>
  </r>
  <r>
    <n v="5372"/>
    <x v="318"/>
    <x v="2"/>
    <x v="1"/>
    <n v="101771"/>
    <s v="2019-08-21"/>
    <x v="1"/>
    <n v="42"/>
    <n v="4"/>
  </r>
  <r>
    <n v="5373"/>
    <x v="319"/>
    <x v="5"/>
    <x v="4"/>
    <n v="52389"/>
    <s v="2023-10-27"/>
    <x v="0"/>
    <n v="21"/>
    <n v="5"/>
  </r>
  <r>
    <n v="5374"/>
    <x v="320"/>
    <x v="7"/>
    <x v="5"/>
    <n v="55590"/>
    <s v="2018-08-31"/>
    <x v="1"/>
    <n v="28"/>
    <n v="1"/>
  </r>
  <r>
    <n v="5375"/>
    <x v="321"/>
    <x v="1"/>
    <x v="1"/>
    <n v="101141"/>
    <s v="2016-03-31"/>
    <x v="1"/>
    <n v="47"/>
    <n v="1"/>
  </r>
  <r>
    <n v="5376"/>
    <x v="322"/>
    <x v="9"/>
    <x v="8"/>
    <n v="129108"/>
    <s v="2021-03-24"/>
    <x v="0"/>
    <n v="39"/>
    <n v="2"/>
  </r>
  <r>
    <n v="5377"/>
    <x v="323"/>
    <x v="0"/>
    <x v="7"/>
    <n v="87520"/>
    <s v="2016-01-02"/>
    <x v="0"/>
    <n v="36"/>
    <n v="3"/>
  </r>
  <r>
    <n v="5378"/>
    <x v="324"/>
    <x v="1"/>
    <x v="3"/>
    <n v="96678"/>
    <s v="2017-08-05"/>
    <x v="1"/>
    <n v="30"/>
    <n v="1"/>
  </r>
  <r>
    <n v="5379"/>
    <x v="325"/>
    <x v="6"/>
    <x v="6"/>
    <n v="49430"/>
    <s v="2018-01-09"/>
    <x v="0"/>
    <n v="27"/>
    <n v="2"/>
  </r>
  <r>
    <n v="5380"/>
    <x v="326"/>
    <x v="6"/>
    <x v="5"/>
    <n v="56650"/>
    <s v="2020-06-16"/>
    <x v="1"/>
    <n v="41"/>
    <n v="3"/>
  </r>
  <r>
    <n v="5381"/>
    <x v="327"/>
    <x v="4"/>
    <x v="8"/>
    <n v="112933"/>
    <s v="2020-02-28"/>
    <x v="1"/>
    <n v="25"/>
    <n v="4"/>
  </r>
  <r>
    <n v="5382"/>
    <x v="328"/>
    <x v="0"/>
    <x v="6"/>
    <n v="87520"/>
    <s v="2019-07-16"/>
    <x v="1"/>
    <n v="24"/>
    <n v="3"/>
  </r>
  <r>
    <n v="5383"/>
    <x v="329"/>
    <x v="9"/>
    <x v="3"/>
    <n v="33195"/>
    <s v="2024-04-19"/>
    <x v="0"/>
    <n v="21"/>
    <n v="1"/>
  </r>
  <r>
    <n v="5384"/>
    <x v="330"/>
    <x v="6"/>
    <x v="1"/>
    <n v="36855"/>
    <s v="2021-08-19"/>
    <x v="0"/>
    <n v="32"/>
    <n v="1"/>
  </r>
  <r>
    <n v="5385"/>
    <x v="268"/>
    <x v="0"/>
    <x v="0"/>
    <n v="46032"/>
    <s v="2020-12-25"/>
    <x v="1"/>
    <n v="52"/>
    <n v="2"/>
  </r>
  <r>
    <n v="5386"/>
    <x v="331"/>
    <x v="4"/>
    <x v="1"/>
    <n v="147603"/>
    <s v="2019-10-01"/>
    <x v="0"/>
    <n v="55"/>
    <n v="4"/>
  </r>
  <r>
    <n v="5387"/>
    <x v="52"/>
    <x v="5"/>
    <x v="9"/>
    <n v="61028"/>
    <s v="2020-09-22"/>
    <x v="0"/>
    <n v="52"/>
    <n v="2"/>
  </r>
  <r>
    <n v="5388"/>
    <x v="290"/>
    <x v="2"/>
    <x v="1"/>
    <n v="138434"/>
    <s v="2016-10-08"/>
    <x v="0"/>
    <n v="44"/>
    <n v="1"/>
  </r>
  <r>
    <n v="5389"/>
    <x v="332"/>
    <x v="7"/>
    <x v="1"/>
    <n v="74114"/>
    <s v="2024-07-17"/>
    <x v="0"/>
    <n v="36"/>
    <n v="5"/>
  </r>
  <r>
    <n v="5390"/>
    <x v="333"/>
    <x v="9"/>
    <x v="8"/>
    <n v="87520"/>
    <s v="2016-09-08"/>
    <x v="0"/>
    <n v="54"/>
    <n v="2"/>
  </r>
  <r>
    <n v="5391"/>
    <x v="334"/>
    <x v="6"/>
    <x v="4"/>
    <n v="107113"/>
    <s v="2017-08-29"/>
    <x v="0"/>
    <n v="25"/>
    <n v="3"/>
  </r>
  <r>
    <n v="5392"/>
    <x v="335"/>
    <x v="4"/>
    <x v="6"/>
    <n v="28511"/>
    <s v="2022-08-20"/>
    <x v="0"/>
    <n v="35"/>
    <n v="2"/>
  </r>
  <r>
    <n v="5393"/>
    <x v="336"/>
    <x v="5"/>
    <x v="9"/>
    <n v="60461"/>
    <s v="2023-12-25"/>
    <x v="1"/>
    <n v="30"/>
    <n v="1"/>
  </r>
  <r>
    <n v="5394"/>
    <x v="337"/>
    <x v="4"/>
    <x v="3"/>
    <n v="57784"/>
    <s v="2025-01-08"/>
    <x v="1"/>
    <n v="24"/>
    <n v="2"/>
  </r>
  <r>
    <n v="5395"/>
    <x v="338"/>
    <x v="1"/>
    <x v="8"/>
    <n v="134185"/>
    <s v="2016-03-10"/>
    <x v="0"/>
    <n v="55"/>
    <n v="2"/>
  </r>
  <r>
    <n v="5396"/>
    <x v="339"/>
    <x v="2"/>
    <x v="1"/>
    <n v="120294"/>
    <s v="2021-12-13"/>
    <x v="1"/>
    <n v="33"/>
    <n v="5"/>
  </r>
  <r>
    <n v="5397"/>
    <x v="340"/>
    <x v="9"/>
    <x v="1"/>
    <n v="87520"/>
    <s v="2022-11-16"/>
    <x v="1"/>
    <n v="21"/>
    <n v="5"/>
  </r>
  <r>
    <n v="5398"/>
    <x v="341"/>
    <x v="3"/>
    <x v="3"/>
    <n v="104787"/>
    <s v="2023-10-22"/>
    <x v="1"/>
    <n v="49"/>
    <n v="2"/>
  </r>
  <r>
    <n v="5399"/>
    <x v="342"/>
    <x v="9"/>
    <x v="5"/>
    <n v="30874"/>
    <s v="2023-02-25"/>
    <x v="1"/>
    <n v="55"/>
    <n v="1"/>
  </r>
  <r>
    <n v="5400"/>
    <x v="343"/>
    <x v="4"/>
    <x v="7"/>
    <n v="70453"/>
    <s v="2022-02-25"/>
    <x v="1"/>
    <n v="48"/>
    <n v="5"/>
  </r>
  <r>
    <n v="5401"/>
    <x v="76"/>
    <x v="5"/>
    <x v="0"/>
    <n v="123478"/>
    <s v="2017-08-29"/>
    <x v="0"/>
    <n v="22"/>
    <n v="5"/>
  </r>
  <r>
    <n v="5402"/>
    <x v="344"/>
    <x v="1"/>
    <x v="6"/>
    <n v="118368"/>
    <s v="2019-05-08"/>
    <x v="1"/>
    <n v="55"/>
    <n v="5"/>
  </r>
  <r>
    <n v="5403"/>
    <x v="345"/>
    <x v="8"/>
    <x v="5"/>
    <n v="63381"/>
    <s v="2022-12-24"/>
    <x v="1"/>
    <n v="36"/>
    <n v="4"/>
  </r>
  <r>
    <n v="5404"/>
    <x v="346"/>
    <x v="8"/>
    <x v="0"/>
    <n v="66987"/>
    <s v="2016-10-09"/>
    <x v="0"/>
    <n v="45"/>
    <n v="4"/>
  </r>
  <r>
    <n v="5405"/>
    <x v="1"/>
    <x v="4"/>
    <x v="5"/>
    <n v="43809"/>
    <s v="2017-08-14"/>
    <x v="0"/>
    <n v="47"/>
    <n v="2"/>
  </r>
  <r>
    <n v="5406"/>
    <x v="268"/>
    <x v="7"/>
    <x v="0"/>
    <n v="65785"/>
    <s v="2017-02-10"/>
    <x v="1"/>
    <n v="50"/>
    <n v="5"/>
  </r>
  <r>
    <n v="5407"/>
    <x v="347"/>
    <x v="4"/>
    <x v="7"/>
    <n v="131760"/>
    <s v="2019-01-02"/>
    <x v="1"/>
    <n v="48"/>
    <n v="4"/>
  </r>
  <r>
    <n v="5408"/>
    <x v="348"/>
    <x v="5"/>
    <x v="1"/>
    <n v="58455"/>
    <s v="2020-10-08"/>
    <x v="1"/>
    <n v="51"/>
    <n v="3"/>
  </r>
  <r>
    <n v="5409"/>
    <x v="57"/>
    <x v="0"/>
    <x v="5"/>
    <n v="99706"/>
    <s v="2017-05-23"/>
    <x v="0"/>
    <n v="44"/>
    <n v="1"/>
  </r>
  <r>
    <n v="5410"/>
    <x v="349"/>
    <x v="4"/>
    <x v="7"/>
    <n v="53779"/>
    <s v="2024-04-08"/>
    <x v="0"/>
    <n v="23"/>
    <n v="5"/>
  </r>
  <r>
    <n v="5411"/>
    <x v="350"/>
    <x v="4"/>
    <x v="5"/>
    <n v="46259"/>
    <s v="2018-04-13"/>
    <x v="1"/>
    <n v="28"/>
    <n v="4"/>
  </r>
  <r>
    <n v="5412"/>
    <x v="239"/>
    <x v="6"/>
    <x v="5"/>
    <n v="86605"/>
    <s v="2023-03-13"/>
    <x v="0"/>
    <n v="54"/>
    <n v="3"/>
  </r>
  <r>
    <n v="5413"/>
    <x v="351"/>
    <x v="0"/>
    <x v="3"/>
    <n v="34756"/>
    <s v="2024-08-04"/>
    <x v="1"/>
    <n v="46"/>
    <n v="2"/>
  </r>
  <r>
    <n v="5414"/>
    <x v="352"/>
    <x v="4"/>
    <x v="9"/>
    <n v="38011"/>
    <s v="2021-03-26"/>
    <x v="0"/>
    <n v="43"/>
    <n v="3"/>
  </r>
  <r>
    <n v="5415"/>
    <x v="353"/>
    <x v="4"/>
    <x v="4"/>
    <n v="69414"/>
    <s v="2022-09-04"/>
    <x v="0"/>
    <n v="34"/>
    <n v="4"/>
  </r>
  <r>
    <n v="5416"/>
    <x v="354"/>
    <x v="4"/>
    <x v="9"/>
    <n v="112210"/>
    <s v="2018-01-05"/>
    <x v="0"/>
    <n v="22"/>
    <n v="4"/>
  </r>
  <r>
    <n v="5417"/>
    <x v="355"/>
    <x v="4"/>
    <x v="8"/>
    <n v="128980"/>
    <s v="2022-09-30"/>
    <x v="1"/>
    <n v="37"/>
    <n v="5"/>
  </r>
  <r>
    <n v="5418"/>
    <x v="356"/>
    <x v="0"/>
    <x v="5"/>
    <n v="93494"/>
    <s v="2016-05-02"/>
    <x v="1"/>
    <n v="34"/>
    <n v="4"/>
  </r>
  <r>
    <n v="5419"/>
    <x v="357"/>
    <x v="4"/>
    <x v="4"/>
    <n v="138254"/>
    <s v="2021-09-24"/>
    <x v="1"/>
    <n v="37"/>
    <n v="4"/>
  </r>
  <r>
    <n v="5420"/>
    <x v="60"/>
    <x v="2"/>
    <x v="0"/>
    <n v="96367"/>
    <s v="2023-11-10"/>
    <x v="1"/>
    <n v="28"/>
    <n v="3"/>
  </r>
  <r>
    <n v="5421"/>
    <x v="358"/>
    <x v="4"/>
    <x v="8"/>
    <n v="64619"/>
    <s v="2017-06-18"/>
    <x v="0"/>
    <n v="44"/>
    <n v="5"/>
  </r>
  <r>
    <n v="5422"/>
    <x v="359"/>
    <x v="3"/>
    <x v="8"/>
    <n v="106637"/>
    <s v="2018-05-03"/>
    <x v="0"/>
    <n v="40"/>
    <n v="3"/>
  </r>
  <r>
    <n v="5423"/>
    <x v="116"/>
    <x v="0"/>
    <x v="6"/>
    <n v="36171"/>
    <s v="2021-04-02"/>
    <x v="0"/>
    <n v="55"/>
    <n v="1"/>
  </r>
  <r>
    <n v="5424"/>
    <x v="329"/>
    <x v="4"/>
    <x v="6"/>
    <n v="87520"/>
    <s v="2021-12-01"/>
    <x v="0"/>
    <n v="31"/>
    <n v="2"/>
  </r>
  <r>
    <n v="5425"/>
    <x v="360"/>
    <x v="1"/>
    <x v="5"/>
    <n v="139189"/>
    <s v="2020-09-14"/>
    <x v="1"/>
    <n v="39"/>
    <n v="1"/>
  </r>
  <r>
    <n v="5426"/>
    <x v="361"/>
    <x v="5"/>
    <x v="5"/>
    <n v="79477"/>
    <s v="2017-12-16"/>
    <x v="2"/>
    <n v="39"/>
    <n v="2"/>
  </r>
  <r>
    <n v="5427"/>
    <x v="362"/>
    <x v="4"/>
    <x v="0"/>
    <n v="98416"/>
    <s v="2016-07-12"/>
    <x v="1"/>
    <n v="24"/>
    <n v="3"/>
  </r>
  <r>
    <n v="5428"/>
    <x v="363"/>
    <x v="0"/>
    <x v="0"/>
    <n v="88293"/>
    <s v="2020-02-21"/>
    <x v="0"/>
    <n v="43"/>
    <n v="2"/>
  </r>
  <r>
    <n v="5429"/>
    <x v="364"/>
    <x v="4"/>
    <x v="8"/>
    <n v="87520"/>
    <s v="2019-09-17"/>
    <x v="1"/>
    <n v="23"/>
    <n v="2"/>
  </r>
  <r>
    <n v="5430"/>
    <x v="365"/>
    <x v="7"/>
    <x v="8"/>
    <n v="142335"/>
    <s v="2018-08-26"/>
    <x v="0"/>
    <n v="54"/>
    <n v="4"/>
  </r>
  <r>
    <n v="5431"/>
    <x v="366"/>
    <x v="6"/>
    <x v="6"/>
    <n v="62753"/>
    <s v="2021-08-02"/>
    <x v="0"/>
    <n v="34"/>
    <n v="5"/>
  </r>
  <r>
    <n v="5432"/>
    <x v="367"/>
    <x v="8"/>
    <x v="5"/>
    <n v="92122"/>
    <s v="2022-07-07"/>
    <x v="0"/>
    <n v="39"/>
    <n v="2"/>
  </r>
  <r>
    <n v="5433"/>
    <x v="368"/>
    <x v="5"/>
    <x v="4"/>
    <n v="87520"/>
    <s v="2016-02-21"/>
    <x v="0"/>
    <n v="38"/>
    <n v="1"/>
  </r>
  <r>
    <n v="5434"/>
    <x v="346"/>
    <x v="3"/>
    <x v="4"/>
    <n v="38035"/>
    <s v="2018-08-21"/>
    <x v="2"/>
    <n v="43"/>
    <n v="3"/>
  </r>
  <r>
    <n v="5435"/>
    <x v="369"/>
    <x v="2"/>
    <x v="5"/>
    <n v="142647"/>
    <s v="2024-01-14"/>
    <x v="1"/>
    <n v="42"/>
    <n v="3"/>
  </r>
  <r>
    <n v="5436"/>
    <x v="360"/>
    <x v="5"/>
    <x v="3"/>
    <n v="54554"/>
    <s v="2024-11-15"/>
    <x v="1"/>
    <n v="32"/>
    <n v="5"/>
  </r>
  <r>
    <n v="5437"/>
    <x v="370"/>
    <x v="1"/>
    <x v="5"/>
    <n v="141884"/>
    <s v="2023-09-22"/>
    <x v="0"/>
    <n v="27"/>
    <n v="3"/>
  </r>
  <r>
    <n v="5438"/>
    <x v="266"/>
    <x v="3"/>
    <x v="6"/>
    <n v="126405"/>
    <s v="2024-11-06"/>
    <x v="1"/>
    <n v="34"/>
    <n v="1"/>
  </r>
  <r>
    <n v="5439"/>
    <x v="273"/>
    <x v="7"/>
    <x v="8"/>
    <n v="99188"/>
    <s v="2019-01-31"/>
    <x v="1"/>
    <n v="28"/>
    <n v="4"/>
  </r>
  <r>
    <n v="5440"/>
    <x v="371"/>
    <x v="6"/>
    <x v="4"/>
    <n v="50771"/>
    <s v="2017-12-17"/>
    <x v="0"/>
    <n v="24"/>
    <n v="5"/>
  </r>
  <r>
    <n v="5441"/>
    <x v="372"/>
    <x v="7"/>
    <x v="8"/>
    <n v="71826"/>
    <s v="2017-04-16"/>
    <x v="1"/>
    <n v="39"/>
    <n v="3"/>
  </r>
  <r>
    <n v="5442"/>
    <x v="335"/>
    <x v="2"/>
    <x v="1"/>
    <n v="139363"/>
    <s v="2023-09-30"/>
    <x v="0"/>
    <n v="41"/>
    <n v="5"/>
  </r>
  <r>
    <n v="5443"/>
    <x v="373"/>
    <x v="8"/>
    <x v="0"/>
    <n v="54184"/>
    <s v="2016-04-07"/>
    <x v="0"/>
    <n v="51"/>
    <n v="1"/>
  </r>
  <r>
    <n v="5444"/>
    <x v="374"/>
    <x v="1"/>
    <x v="0"/>
    <n v="76863"/>
    <s v="2024-12-04"/>
    <x v="1"/>
    <n v="48"/>
    <n v="2"/>
  </r>
  <r>
    <n v="5445"/>
    <x v="375"/>
    <x v="9"/>
    <x v="1"/>
    <n v="87520"/>
    <s v="2018-05-31"/>
    <x v="0"/>
    <n v="21"/>
    <n v="2"/>
  </r>
  <r>
    <n v="5446"/>
    <x v="376"/>
    <x v="0"/>
    <x v="7"/>
    <n v="110179"/>
    <s v="2023-04-12"/>
    <x v="0"/>
    <n v="42"/>
    <n v="4"/>
  </r>
  <r>
    <n v="5447"/>
    <x v="140"/>
    <x v="3"/>
    <x v="2"/>
    <n v="90651"/>
    <s v="2022-08-26"/>
    <x v="1"/>
    <n v="48"/>
    <n v="1"/>
  </r>
  <r>
    <n v="5448"/>
    <x v="377"/>
    <x v="5"/>
    <x v="1"/>
    <n v="129623"/>
    <s v="2023-02-10"/>
    <x v="0"/>
    <n v="22"/>
    <n v="3"/>
  </r>
  <r>
    <n v="5449"/>
    <x v="378"/>
    <x v="3"/>
    <x v="8"/>
    <n v="134509"/>
    <s v="2020-12-21"/>
    <x v="0"/>
    <n v="24"/>
    <n v="3"/>
  </r>
  <r>
    <n v="5450"/>
    <x v="379"/>
    <x v="5"/>
    <x v="8"/>
    <n v="87520"/>
    <s v="2016-12-16"/>
    <x v="0"/>
    <n v="41"/>
    <n v="4"/>
  </r>
  <r>
    <n v="5451"/>
    <x v="380"/>
    <x v="4"/>
    <x v="1"/>
    <n v="53024"/>
    <s v="2021-11-27"/>
    <x v="1"/>
    <n v="48"/>
    <n v="2"/>
  </r>
  <r>
    <n v="5452"/>
    <x v="381"/>
    <x v="6"/>
    <x v="6"/>
    <n v="139841"/>
    <s v="2022-11-29"/>
    <x v="1"/>
    <n v="28"/>
    <n v="3"/>
  </r>
  <r>
    <n v="5453"/>
    <x v="382"/>
    <x v="9"/>
    <x v="3"/>
    <n v="94330"/>
    <s v="2021-10-22"/>
    <x v="2"/>
    <n v="35"/>
    <n v="1"/>
  </r>
  <r>
    <n v="5454"/>
    <x v="383"/>
    <x v="0"/>
    <x v="0"/>
    <n v="125648"/>
    <s v="2022-01-08"/>
    <x v="0"/>
    <n v="45"/>
    <n v="3"/>
  </r>
  <r>
    <n v="5455"/>
    <x v="384"/>
    <x v="0"/>
    <x v="3"/>
    <n v="37020"/>
    <s v="2016-09-24"/>
    <x v="1"/>
    <n v="42"/>
    <n v="4"/>
  </r>
  <r>
    <n v="5456"/>
    <x v="385"/>
    <x v="7"/>
    <x v="4"/>
    <n v="94148"/>
    <s v="2019-08-01"/>
    <x v="1"/>
    <n v="39"/>
    <n v="4"/>
  </r>
  <r>
    <n v="5457"/>
    <x v="317"/>
    <x v="5"/>
    <x v="8"/>
    <n v="30820"/>
    <s v="2019-03-06"/>
    <x v="1"/>
    <n v="52"/>
    <n v="5"/>
  </r>
  <r>
    <n v="5458"/>
    <x v="386"/>
    <x v="0"/>
    <x v="8"/>
    <n v="33700"/>
    <s v="2021-08-09"/>
    <x v="0"/>
    <n v="28"/>
    <n v="4"/>
  </r>
  <r>
    <n v="5459"/>
    <x v="387"/>
    <x v="4"/>
    <x v="6"/>
    <n v="96449"/>
    <s v="2020-12-23"/>
    <x v="1"/>
    <n v="33"/>
    <n v="3"/>
  </r>
  <r>
    <n v="5460"/>
    <x v="388"/>
    <x v="7"/>
    <x v="6"/>
    <n v="88489"/>
    <s v="2018-10-28"/>
    <x v="1"/>
    <n v="44"/>
    <n v="4"/>
  </r>
  <r>
    <n v="5461"/>
    <x v="389"/>
    <x v="7"/>
    <x v="6"/>
    <n v="87520"/>
    <s v="2020-07-18"/>
    <x v="1"/>
    <n v="49"/>
    <n v="2"/>
  </r>
  <r>
    <n v="5462"/>
    <x v="390"/>
    <x v="8"/>
    <x v="1"/>
    <n v="121101"/>
    <s v="2024-07-11"/>
    <x v="1"/>
    <n v="40"/>
    <n v="5"/>
  </r>
  <r>
    <n v="5463"/>
    <x v="143"/>
    <x v="0"/>
    <x v="8"/>
    <n v="102378"/>
    <s v="2023-07-19"/>
    <x v="1"/>
    <n v="53"/>
    <n v="4"/>
  </r>
  <r>
    <n v="5464"/>
    <x v="391"/>
    <x v="2"/>
    <x v="2"/>
    <n v="92046"/>
    <s v="2019-05-18"/>
    <x v="0"/>
    <n v="53"/>
    <n v="4"/>
  </r>
  <r>
    <n v="5465"/>
    <x v="392"/>
    <x v="4"/>
    <x v="5"/>
    <n v="103869"/>
    <s v="2020-10-19"/>
    <x v="1"/>
    <n v="26"/>
    <n v="2"/>
  </r>
  <r>
    <n v="5466"/>
    <x v="393"/>
    <x v="8"/>
    <x v="8"/>
    <n v="88532"/>
    <s v="2019-06-17"/>
    <x v="1"/>
    <n v="51"/>
    <n v="4"/>
  </r>
  <r>
    <n v="5467"/>
    <x v="394"/>
    <x v="9"/>
    <x v="5"/>
    <n v="85468"/>
    <s v="2017-07-22"/>
    <x v="0"/>
    <n v="38"/>
    <n v="2"/>
  </r>
  <r>
    <n v="5468"/>
    <x v="395"/>
    <x v="1"/>
    <x v="4"/>
    <n v="138571"/>
    <s v="2020-11-21"/>
    <x v="0"/>
    <n v="49"/>
    <n v="5"/>
  </r>
  <r>
    <n v="5469"/>
    <x v="396"/>
    <x v="1"/>
    <x v="6"/>
    <n v="133174"/>
    <s v="2021-08-25"/>
    <x v="0"/>
    <n v="30"/>
    <n v="4"/>
  </r>
  <r>
    <n v="5470"/>
    <x v="397"/>
    <x v="6"/>
    <x v="5"/>
    <n v="48658"/>
    <s v="2017-02-10"/>
    <x v="0"/>
    <n v="32"/>
    <n v="5"/>
  </r>
  <r>
    <n v="5471"/>
    <x v="398"/>
    <x v="8"/>
    <x v="5"/>
    <n v="47492"/>
    <s v="2019-12-30"/>
    <x v="0"/>
    <n v="22"/>
    <n v="4"/>
  </r>
  <r>
    <n v="5472"/>
    <x v="325"/>
    <x v="2"/>
    <x v="5"/>
    <n v="46840"/>
    <s v="2022-11-14"/>
    <x v="1"/>
    <n v="54"/>
    <n v="3"/>
  </r>
  <r>
    <n v="5473"/>
    <x v="399"/>
    <x v="9"/>
    <x v="6"/>
    <n v="86371"/>
    <s v="2023-11-09"/>
    <x v="1"/>
    <n v="55"/>
    <n v="1"/>
  </r>
  <r>
    <n v="5474"/>
    <x v="400"/>
    <x v="5"/>
    <x v="3"/>
    <n v="71992"/>
    <s v="2017-12-15"/>
    <x v="1"/>
    <n v="34"/>
    <n v="3"/>
  </r>
  <r>
    <n v="5475"/>
    <x v="401"/>
    <x v="0"/>
    <x v="0"/>
    <n v="112876"/>
    <s v="2019-11-25"/>
    <x v="0"/>
    <n v="52"/>
    <n v="2"/>
  </r>
  <r>
    <n v="5476"/>
    <x v="402"/>
    <x v="4"/>
    <x v="0"/>
    <n v="116203"/>
    <s v="2021-01-23"/>
    <x v="0"/>
    <n v="39"/>
    <n v="2"/>
  </r>
  <r>
    <n v="5477"/>
    <x v="403"/>
    <x v="8"/>
    <x v="1"/>
    <n v="127386"/>
    <s v="2016-03-14"/>
    <x v="1"/>
    <n v="23"/>
    <n v="3"/>
  </r>
  <r>
    <n v="5478"/>
    <x v="191"/>
    <x v="0"/>
    <x v="5"/>
    <n v="51788"/>
    <s v="2019-04-13"/>
    <x v="1"/>
    <n v="54"/>
    <n v="4"/>
  </r>
  <r>
    <n v="5479"/>
    <x v="404"/>
    <x v="9"/>
    <x v="3"/>
    <n v="87520"/>
    <s v="2020-12-25"/>
    <x v="0"/>
    <n v="40"/>
    <n v="5"/>
  </r>
  <r>
    <n v="5480"/>
    <x v="405"/>
    <x v="6"/>
    <x v="1"/>
    <n v="85627"/>
    <s v="2020-08-02"/>
    <x v="0"/>
    <n v="23"/>
    <n v="2"/>
  </r>
  <r>
    <n v="5481"/>
    <x v="406"/>
    <x v="8"/>
    <x v="8"/>
    <n v="44469"/>
    <s v="2021-09-15"/>
    <x v="0"/>
    <n v="52"/>
    <n v="3"/>
  </r>
  <r>
    <n v="5482"/>
    <x v="407"/>
    <x v="5"/>
    <x v="0"/>
    <n v="89842"/>
    <s v="2020-11-12"/>
    <x v="0"/>
    <n v="55"/>
    <n v="3"/>
  </r>
  <r>
    <n v="5483"/>
    <x v="244"/>
    <x v="3"/>
    <x v="9"/>
    <n v="73105"/>
    <s v="2022-10-17"/>
    <x v="0"/>
    <n v="46"/>
    <n v="5"/>
  </r>
  <r>
    <n v="5484"/>
    <x v="163"/>
    <x v="1"/>
    <x v="8"/>
    <n v="100861"/>
    <s v="2021-02-22"/>
    <x v="0"/>
    <n v="35"/>
    <n v="3"/>
  </r>
  <r>
    <n v="5485"/>
    <x v="408"/>
    <x v="6"/>
    <x v="6"/>
    <n v="44538"/>
    <s v="2024-12-22"/>
    <x v="1"/>
    <n v="55"/>
    <n v="2"/>
  </r>
  <r>
    <n v="5486"/>
    <x v="372"/>
    <x v="8"/>
    <x v="3"/>
    <n v="54644"/>
    <s v="2023-06-23"/>
    <x v="0"/>
    <n v="39"/>
    <n v="4"/>
  </r>
  <r>
    <n v="5487"/>
    <x v="181"/>
    <x v="2"/>
    <x v="0"/>
    <n v="89305"/>
    <s v="2020-08-24"/>
    <x v="1"/>
    <n v="35"/>
    <n v="4"/>
  </r>
  <r>
    <n v="5488"/>
    <x v="367"/>
    <x v="0"/>
    <x v="0"/>
    <n v="58306"/>
    <s v="2019-09-07"/>
    <x v="0"/>
    <n v="23"/>
    <n v="1"/>
  </r>
  <r>
    <n v="5489"/>
    <x v="292"/>
    <x v="4"/>
    <x v="2"/>
    <n v="135187"/>
    <s v="2020-03-16"/>
    <x v="1"/>
    <n v="48"/>
    <n v="4"/>
  </r>
  <r>
    <n v="5490"/>
    <x v="409"/>
    <x v="4"/>
    <x v="3"/>
    <n v="57711"/>
    <s v="2022-02-09"/>
    <x v="0"/>
    <n v="41"/>
    <n v="2"/>
  </r>
  <r>
    <n v="5491"/>
    <x v="410"/>
    <x v="1"/>
    <x v="7"/>
    <n v="70791"/>
    <s v="2019-01-21"/>
    <x v="0"/>
    <n v="27"/>
    <n v="2"/>
  </r>
  <r>
    <n v="5492"/>
    <x v="411"/>
    <x v="1"/>
    <x v="1"/>
    <n v="141608"/>
    <s v="2020-10-12"/>
    <x v="1"/>
    <n v="55"/>
    <n v="5"/>
  </r>
  <r>
    <n v="5493"/>
    <x v="262"/>
    <x v="8"/>
    <x v="8"/>
    <n v="124746"/>
    <s v="2023-02-20"/>
    <x v="0"/>
    <n v="44"/>
    <n v="4"/>
  </r>
  <r>
    <n v="5494"/>
    <x v="412"/>
    <x v="2"/>
    <x v="8"/>
    <n v="121661"/>
    <s v="2016-10-03"/>
    <x v="0"/>
    <n v="37"/>
    <n v="3"/>
  </r>
  <r>
    <n v="5495"/>
    <x v="413"/>
    <x v="2"/>
    <x v="3"/>
    <n v="109146"/>
    <s v="2021-12-06"/>
    <x v="1"/>
    <n v="53"/>
    <n v="2"/>
  </r>
  <r>
    <n v="5496"/>
    <x v="414"/>
    <x v="5"/>
    <x v="4"/>
    <n v="104943"/>
    <s v="2018-12-18"/>
    <x v="1"/>
    <n v="29"/>
    <n v="3"/>
  </r>
  <r>
    <n v="5497"/>
    <x v="415"/>
    <x v="6"/>
    <x v="8"/>
    <n v="149848"/>
    <s v="2018-01-31"/>
    <x v="2"/>
    <n v="32"/>
    <n v="4"/>
  </r>
  <r>
    <n v="5498"/>
    <x v="280"/>
    <x v="4"/>
    <x v="1"/>
    <n v="87520"/>
    <s v="2024-08-14"/>
    <x v="1"/>
    <n v="48"/>
    <n v="1"/>
  </r>
  <r>
    <n v="5499"/>
    <x v="416"/>
    <x v="2"/>
    <x v="8"/>
    <n v="130833"/>
    <s v="2020-10-02"/>
    <x v="0"/>
    <n v="43"/>
    <n v="3"/>
  </r>
  <r>
    <n v="5500"/>
    <x v="417"/>
    <x v="3"/>
    <x v="4"/>
    <n v="38165"/>
    <s v="2016-07-13"/>
    <x v="1"/>
    <n v="46"/>
    <n v="4"/>
  </r>
  <r>
    <n v="5501"/>
    <x v="312"/>
    <x v="4"/>
    <x v="0"/>
    <n v="145778"/>
    <s v="2022-02-16"/>
    <x v="0"/>
    <n v="41"/>
    <n v="4"/>
  </r>
  <r>
    <n v="5502"/>
    <x v="418"/>
    <x v="9"/>
    <x v="9"/>
    <n v="76087"/>
    <s v="2019-02-06"/>
    <x v="1"/>
    <n v="49"/>
    <n v="2"/>
  </r>
  <r>
    <n v="5503"/>
    <x v="419"/>
    <x v="4"/>
    <x v="7"/>
    <n v="135567"/>
    <s v="2019-04-14"/>
    <x v="1"/>
    <n v="32"/>
    <n v="5"/>
  </r>
  <r>
    <n v="5504"/>
    <x v="41"/>
    <x v="7"/>
    <x v="4"/>
    <n v="86077"/>
    <s v="2020-10-22"/>
    <x v="0"/>
    <n v="34"/>
    <n v="2"/>
  </r>
  <r>
    <n v="5505"/>
    <x v="420"/>
    <x v="4"/>
    <x v="8"/>
    <n v="123321"/>
    <s v="2023-12-23"/>
    <x v="0"/>
    <n v="38"/>
    <n v="2"/>
  </r>
  <r>
    <n v="5506"/>
    <x v="421"/>
    <x v="3"/>
    <x v="5"/>
    <n v="38624"/>
    <s v="2024-11-16"/>
    <x v="0"/>
    <n v="39"/>
    <n v="5"/>
  </r>
  <r>
    <n v="5507"/>
    <x v="422"/>
    <x v="5"/>
    <x v="6"/>
    <n v="111369"/>
    <s v="2022-01-24"/>
    <x v="0"/>
    <n v="46"/>
    <n v="3"/>
  </r>
  <r>
    <n v="5508"/>
    <x v="423"/>
    <x v="3"/>
    <x v="9"/>
    <n v="83713"/>
    <s v="2023-05-17"/>
    <x v="0"/>
    <n v="39"/>
    <n v="1"/>
  </r>
  <r>
    <n v="5509"/>
    <x v="424"/>
    <x v="4"/>
    <x v="6"/>
    <n v="105454"/>
    <s v="2018-10-15"/>
    <x v="1"/>
    <n v="36"/>
    <n v="4"/>
  </r>
  <r>
    <n v="5510"/>
    <x v="425"/>
    <x v="8"/>
    <x v="6"/>
    <n v="64575"/>
    <s v="2022-04-26"/>
    <x v="0"/>
    <n v="38"/>
    <n v="4"/>
  </r>
  <r>
    <n v="5511"/>
    <x v="426"/>
    <x v="1"/>
    <x v="1"/>
    <n v="126026"/>
    <s v="2019-12-22"/>
    <x v="1"/>
    <n v="27"/>
    <n v="1"/>
  </r>
  <r>
    <n v="5512"/>
    <x v="427"/>
    <x v="8"/>
    <x v="9"/>
    <n v="111323"/>
    <s v="2017-09-07"/>
    <x v="0"/>
    <n v="31"/>
    <n v="2"/>
  </r>
  <r>
    <n v="5513"/>
    <x v="248"/>
    <x v="8"/>
    <x v="4"/>
    <n v="45854"/>
    <s v="2018-07-28"/>
    <x v="1"/>
    <n v="35"/>
    <n v="2"/>
  </r>
  <r>
    <n v="5514"/>
    <x v="428"/>
    <x v="1"/>
    <x v="3"/>
    <n v="93121"/>
    <s v="2019-03-17"/>
    <x v="0"/>
    <n v="35"/>
    <n v="1"/>
  </r>
  <r>
    <n v="5515"/>
    <x v="429"/>
    <x v="4"/>
    <x v="2"/>
    <n v="47080"/>
    <s v="2020-05-03"/>
    <x v="1"/>
    <n v="38"/>
    <n v="3"/>
  </r>
  <r>
    <n v="5516"/>
    <x v="430"/>
    <x v="7"/>
    <x v="0"/>
    <n v="43297"/>
    <s v="2017-08-15"/>
    <x v="0"/>
    <n v="23"/>
    <n v="3"/>
  </r>
  <r>
    <n v="5517"/>
    <x v="431"/>
    <x v="2"/>
    <x v="7"/>
    <n v="84955"/>
    <s v="2019-04-08"/>
    <x v="1"/>
    <n v="22"/>
    <n v="1"/>
  </r>
  <r>
    <n v="5518"/>
    <x v="260"/>
    <x v="4"/>
    <x v="1"/>
    <n v="72516"/>
    <s v="2021-03-26"/>
    <x v="1"/>
    <n v="42"/>
    <n v="4"/>
  </r>
  <r>
    <n v="5519"/>
    <x v="432"/>
    <x v="5"/>
    <x v="1"/>
    <n v="49793"/>
    <s v="2023-03-14"/>
    <x v="1"/>
    <n v="25"/>
    <n v="2"/>
  </r>
  <r>
    <n v="5520"/>
    <x v="320"/>
    <x v="3"/>
    <x v="6"/>
    <n v="81205"/>
    <s v="2021-04-29"/>
    <x v="0"/>
    <n v="36"/>
    <n v="3"/>
  </r>
  <r>
    <n v="5521"/>
    <x v="433"/>
    <x v="3"/>
    <x v="1"/>
    <n v="62600"/>
    <s v="2023-11-17"/>
    <x v="0"/>
    <n v="39"/>
    <n v="2"/>
  </r>
  <r>
    <n v="5522"/>
    <x v="434"/>
    <x v="2"/>
    <x v="2"/>
    <n v="43637"/>
    <s v="2017-09-05"/>
    <x v="1"/>
    <n v="39"/>
    <n v="4"/>
  </r>
  <r>
    <n v="5523"/>
    <x v="435"/>
    <x v="1"/>
    <x v="4"/>
    <n v="29270"/>
    <s v="2025-01-12"/>
    <x v="0"/>
    <n v="54"/>
    <n v="1"/>
  </r>
  <r>
    <n v="5524"/>
    <x v="436"/>
    <x v="5"/>
    <x v="3"/>
    <n v="74319"/>
    <s v="2017-04-10"/>
    <x v="1"/>
    <n v="49"/>
    <n v="1"/>
  </r>
  <r>
    <n v="5525"/>
    <x v="437"/>
    <x v="5"/>
    <x v="3"/>
    <n v="148557"/>
    <s v="2021-02-02"/>
    <x v="2"/>
    <n v="28"/>
    <n v="3"/>
  </r>
  <r>
    <n v="5526"/>
    <x v="438"/>
    <x v="9"/>
    <x v="9"/>
    <n v="53783"/>
    <s v="2022-08-14"/>
    <x v="1"/>
    <n v="46"/>
    <n v="1"/>
  </r>
  <r>
    <n v="5527"/>
    <x v="439"/>
    <x v="6"/>
    <x v="2"/>
    <n v="58946"/>
    <s v="2023-11-17"/>
    <x v="0"/>
    <n v="44"/>
    <n v="2"/>
  </r>
  <r>
    <n v="5528"/>
    <x v="151"/>
    <x v="7"/>
    <x v="2"/>
    <n v="28567"/>
    <s v="2019-12-22"/>
    <x v="1"/>
    <n v="43"/>
    <n v="5"/>
  </r>
  <r>
    <n v="5529"/>
    <x v="96"/>
    <x v="3"/>
    <x v="3"/>
    <n v="63694"/>
    <s v="2020-09-16"/>
    <x v="1"/>
    <n v="29"/>
    <n v="2"/>
  </r>
  <r>
    <n v="5530"/>
    <x v="440"/>
    <x v="4"/>
    <x v="3"/>
    <n v="107645"/>
    <s v="2018-05-24"/>
    <x v="1"/>
    <n v="38"/>
    <n v="3"/>
  </r>
  <r>
    <n v="5531"/>
    <x v="441"/>
    <x v="6"/>
    <x v="6"/>
    <n v="73238"/>
    <s v="2022-12-20"/>
    <x v="1"/>
    <n v="46"/>
    <n v="4"/>
  </r>
  <r>
    <n v="5532"/>
    <x v="169"/>
    <x v="7"/>
    <x v="0"/>
    <n v="58001"/>
    <s v="2017-07-28"/>
    <x v="0"/>
    <n v="31"/>
    <n v="5"/>
  </r>
  <r>
    <n v="5533"/>
    <x v="442"/>
    <x v="1"/>
    <x v="3"/>
    <n v="59156"/>
    <s v="2018-07-26"/>
    <x v="0"/>
    <n v="49"/>
    <n v="5"/>
  </r>
  <r>
    <n v="5534"/>
    <x v="347"/>
    <x v="8"/>
    <x v="0"/>
    <n v="111783"/>
    <s v="2016-08-01"/>
    <x v="1"/>
    <n v="27"/>
    <n v="3"/>
  </r>
  <r>
    <n v="5535"/>
    <x v="443"/>
    <x v="5"/>
    <x v="8"/>
    <n v="31317"/>
    <s v="2017-11-13"/>
    <x v="1"/>
    <n v="29"/>
    <n v="5"/>
  </r>
  <r>
    <n v="5536"/>
    <x v="242"/>
    <x v="9"/>
    <x v="8"/>
    <n v="148852"/>
    <s v="2021-04-14"/>
    <x v="0"/>
    <n v="27"/>
    <n v="3"/>
  </r>
  <r>
    <n v="5537"/>
    <x v="399"/>
    <x v="7"/>
    <x v="9"/>
    <n v="122969"/>
    <s v="2020-02-21"/>
    <x v="1"/>
    <n v="51"/>
    <n v="5"/>
  </r>
  <r>
    <n v="5538"/>
    <x v="444"/>
    <x v="0"/>
    <x v="7"/>
    <n v="141416"/>
    <s v="2024-10-13"/>
    <x v="0"/>
    <n v="32"/>
    <n v="2"/>
  </r>
  <r>
    <n v="5539"/>
    <x v="410"/>
    <x v="9"/>
    <x v="2"/>
    <n v="76590"/>
    <s v="2022-07-30"/>
    <x v="1"/>
    <n v="37"/>
    <n v="4"/>
  </r>
  <r>
    <n v="5540"/>
    <x v="445"/>
    <x v="6"/>
    <x v="4"/>
    <n v="59862"/>
    <s v="2019-04-03"/>
    <x v="1"/>
    <n v="51"/>
    <n v="4"/>
  </r>
  <r>
    <n v="5541"/>
    <x v="446"/>
    <x v="2"/>
    <x v="2"/>
    <n v="53110"/>
    <s v="2020-08-31"/>
    <x v="1"/>
    <n v="52"/>
    <n v="3"/>
  </r>
  <r>
    <n v="5542"/>
    <x v="165"/>
    <x v="8"/>
    <x v="9"/>
    <n v="102433"/>
    <s v="2022-08-04"/>
    <x v="0"/>
    <n v="38"/>
    <n v="5"/>
  </r>
  <r>
    <n v="5543"/>
    <x v="447"/>
    <x v="1"/>
    <x v="5"/>
    <n v="60390"/>
    <s v="2016-04-03"/>
    <x v="0"/>
    <n v="54"/>
    <n v="1"/>
  </r>
  <r>
    <n v="5544"/>
    <x v="448"/>
    <x v="6"/>
    <x v="5"/>
    <n v="70039"/>
    <s v="2020-02-09"/>
    <x v="0"/>
    <n v="26"/>
    <n v="1"/>
  </r>
  <r>
    <n v="5545"/>
    <x v="449"/>
    <x v="3"/>
    <x v="4"/>
    <n v="137894"/>
    <s v="2022-03-07"/>
    <x v="0"/>
    <n v="52"/>
    <n v="1"/>
  </r>
  <r>
    <n v="5546"/>
    <x v="450"/>
    <x v="1"/>
    <x v="1"/>
    <n v="120263"/>
    <s v="2016-07-15"/>
    <x v="0"/>
    <n v="40"/>
    <n v="1"/>
  </r>
  <r>
    <n v="5547"/>
    <x v="451"/>
    <x v="7"/>
    <x v="8"/>
    <n v="29745"/>
    <s v="2018-04-27"/>
    <x v="0"/>
    <n v="45"/>
    <n v="4"/>
  </r>
  <r>
    <n v="5548"/>
    <x v="45"/>
    <x v="4"/>
    <x v="9"/>
    <n v="95207"/>
    <s v="2020-08-12"/>
    <x v="1"/>
    <n v="28"/>
    <n v="2"/>
  </r>
  <r>
    <n v="5549"/>
    <x v="452"/>
    <x v="1"/>
    <x v="9"/>
    <n v="73452"/>
    <s v="2022-03-02"/>
    <x v="0"/>
    <n v="40"/>
    <n v="1"/>
  </r>
  <r>
    <n v="5550"/>
    <x v="353"/>
    <x v="4"/>
    <x v="7"/>
    <n v="92784"/>
    <s v="2016-03-18"/>
    <x v="0"/>
    <n v="36"/>
    <n v="3"/>
  </r>
  <r>
    <n v="5551"/>
    <x v="453"/>
    <x v="0"/>
    <x v="2"/>
    <n v="57652"/>
    <s v="2021-02-05"/>
    <x v="0"/>
    <n v="45"/>
    <n v="2"/>
  </r>
  <r>
    <n v="5552"/>
    <x v="454"/>
    <x v="7"/>
    <x v="9"/>
    <n v="141172"/>
    <s v="2016-01-10"/>
    <x v="2"/>
    <n v="37"/>
    <n v="1"/>
  </r>
  <r>
    <n v="5553"/>
    <x v="455"/>
    <x v="9"/>
    <x v="6"/>
    <n v="97615"/>
    <s v="2019-05-07"/>
    <x v="1"/>
    <n v="44"/>
    <n v="4"/>
  </r>
  <r>
    <n v="5554"/>
    <x v="173"/>
    <x v="0"/>
    <x v="6"/>
    <n v="87520"/>
    <s v="2025-01-05"/>
    <x v="0"/>
    <n v="39"/>
    <n v="5"/>
  </r>
  <r>
    <n v="5555"/>
    <x v="456"/>
    <x v="2"/>
    <x v="3"/>
    <n v="40299"/>
    <s v="2022-10-28"/>
    <x v="1"/>
    <n v="29"/>
    <n v="1"/>
  </r>
  <r>
    <n v="5556"/>
    <x v="454"/>
    <x v="3"/>
    <x v="1"/>
    <n v="87520"/>
    <s v="2018-12-02"/>
    <x v="1"/>
    <n v="46"/>
    <n v="5"/>
  </r>
  <r>
    <n v="5557"/>
    <x v="159"/>
    <x v="8"/>
    <x v="8"/>
    <n v="39289"/>
    <s v="2022-02-05"/>
    <x v="0"/>
    <n v="46"/>
    <n v="4"/>
  </r>
  <r>
    <n v="5558"/>
    <x v="457"/>
    <x v="1"/>
    <x v="2"/>
    <n v="40833"/>
    <s v="2019-08-10"/>
    <x v="1"/>
    <n v="52"/>
    <n v="3"/>
  </r>
  <r>
    <n v="5559"/>
    <x v="458"/>
    <x v="5"/>
    <x v="4"/>
    <n v="93157"/>
    <s v="2024-11-09"/>
    <x v="0"/>
    <n v="51"/>
    <n v="2"/>
  </r>
  <r>
    <n v="5560"/>
    <x v="459"/>
    <x v="6"/>
    <x v="3"/>
    <n v="149949"/>
    <s v="2019-06-21"/>
    <x v="2"/>
    <n v="35"/>
    <n v="4"/>
  </r>
  <r>
    <n v="5561"/>
    <x v="417"/>
    <x v="3"/>
    <x v="9"/>
    <n v="104018"/>
    <s v="2022-04-23"/>
    <x v="0"/>
    <n v="22"/>
    <n v="3"/>
  </r>
  <r>
    <n v="5562"/>
    <x v="460"/>
    <x v="6"/>
    <x v="7"/>
    <n v="39058"/>
    <s v="2022-07-06"/>
    <x v="1"/>
    <n v="53"/>
    <n v="1"/>
  </r>
  <r>
    <n v="5563"/>
    <x v="398"/>
    <x v="9"/>
    <x v="8"/>
    <n v="114757"/>
    <s v="2024-12-11"/>
    <x v="2"/>
    <n v="39"/>
    <n v="3"/>
  </r>
  <r>
    <n v="5564"/>
    <x v="461"/>
    <x v="7"/>
    <x v="5"/>
    <n v="59168"/>
    <s v="2021-05-11"/>
    <x v="0"/>
    <n v="55"/>
    <n v="3"/>
  </r>
  <r>
    <n v="5565"/>
    <x v="462"/>
    <x v="6"/>
    <x v="6"/>
    <n v="110411"/>
    <s v="2017-09-03"/>
    <x v="0"/>
    <n v="31"/>
    <n v="4"/>
  </r>
  <r>
    <n v="5566"/>
    <x v="463"/>
    <x v="4"/>
    <x v="8"/>
    <n v="135742"/>
    <s v="2020-06-21"/>
    <x v="0"/>
    <n v="33"/>
    <n v="3"/>
  </r>
  <r>
    <n v="5567"/>
    <x v="464"/>
    <x v="2"/>
    <x v="4"/>
    <n v="36476"/>
    <s v="2018-07-30"/>
    <x v="0"/>
    <n v="36"/>
    <n v="1"/>
  </r>
  <r>
    <n v="5568"/>
    <x v="465"/>
    <x v="1"/>
    <x v="9"/>
    <n v="131470"/>
    <s v="2016-07-15"/>
    <x v="0"/>
    <n v="28"/>
    <n v="2"/>
  </r>
  <r>
    <n v="5569"/>
    <x v="466"/>
    <x v="7"/>
    <x v="9"/>
    <n v="142582"/>
    <s v="2023-09-08"/>
    <x v="0"/>
    <n v="47"/>
    <n v="3"/>
  </r>
  <r>
    <n v="5570"/>
    <x v="32"/>
    <x v="5"/>
    <x v="2"/>
    <n v="86622"/>
    <s v="2023-04-05"/>
    <x v="1"/>
    <n v="41"/>
    <n v="2"/>
  </r>
  <r>
    <n v="5571"/>
    <x v="442"/>
    <x v="3"/>
    <x v="7"/>
    <n v="55936"/>
    <s v="2023-10-04"/>
    <x v="1"/>
    <n v="40"/>
    <n v="4"/>
  </r>
  <r>
    <n v="5572"/>
    <x v="467"/>
    <x v="6"/>
    <x v="3"/>
    <n v="71511"/>
    <s v="2021-10-15"/>
    <x v="0"/>
    <n v="48"/>
    <n v="2"/>
  </r>
  <r>
    <n v="5573"/>
    <x v="468"/>
    <x v="6"/>
    <x v="3"/>
    <n v="100339"/>
    <s v="2022-06-16"/>
    <x v="1"/>
    <n v="37"/>
    <n v="4"/>
  </r>
  <r>
    <n v="5574"/>
    <x v="469"/>
    <x v="0"/>
    <x v="4"/>
    <n v="41933"/>
    <s v="2018-10-26"/>
    <x v="1"/>
    <n v="28"/>
    <n v="5"/>
  </r>
  <r>
    <n v="5575"/>
    <x v="99"/>
    <x v="6"/>
    <x v="9"/>
    <n v="76100"/>
    <s v="2022-06-25"/>
    <x v="1"/>
    <n v="34"/>
    <n v="1"/>
  </r>
  <r>
    <n v="5576"/>
    <x v="470"/>
    <x v="5"/>
    <x v="8"/>
    <n v="107437"/>
    <s v="2024-01-14"/>
    <x v="0"/>
    <n v="40"/>
    <n v="2"/>
  </r>
  <r>
    <n v="5577"/>
    <x v="471"/>
    <x v="4"/>
    <x v="3"/>
    <n v="133785"/>
    <s v="2024-02-12"/>
    <x v="0"/>
    <n v="47"/>
    <n v="3"/>
  </r>
  <r>
    <n v="5578"/>
    <x v="366"/>
    <x v="3"/>
    <x v="8"/>
    <n v="54908"/>
    <s v="2022-09-30"/>
    <x v="1"/>
    <n v="55"/>
    <n v="3"/>
  </r>
  <r>
    <n v="5579"/>
    <x v="116"/>
    <x v="3"/>
    <x v="2"/>
    <n v="73705"/>
    <s v="2024-11-06"/>
    <x v="0"/>
    <n v="46"/>
    <n v="3"/>
  </r>
  <r>
    <n v="5580"/>
    <x v="472"/>
    <x v="6"/>
    <x v="7"/>
    <n v="90104"/>
    <s v="2017-11-21"/>
    <x v="0"/>
    <n v="39"/>
    <n v="1"/>
  </r>
  <r>
    <n v="5581"/>
    <x v="473"/>
    <x v="6"/>
    <x v="3"/>
    <n v="52997"/>
    <s v="2019-03-16"/>
    <x v="1"/>
    <n v="51"/>
    <n v="2"/>
  </r>
  <r>
    <n v="5582"/>
    <x v="474"/>
    <x v="3"/>
    <x v="2"/>
    <n v="47374"/>
    <s v="2022-11-27"/>
    <x v="1"/>
    <n v="44"/>
    <n v="2"/>
  </r>
  <r>
    <n v="5583"/>
    <x v="475"/>
    <x v="8"/>
    <x v="5"/>
    <n v="74339"/>
    <s v="2021-11-15"/>
    <x v="0"/>
    <n v="30"/>
    <n v="1"/>
  </r>
  <r>
    <n v="5584"/>
    <x v="476"/>
    <x v="0"/>
    <x v="7"/>
    <n v="123914"/>
    <s v="2024-09-04"/>
    <x v="1"/>
    <n v="41"/>
    <n v="1"/>
  </r>
  <r>
    <n v="5585"/>
    <x v="477"/>
    <x v="0"/>
    <x v="7"/>
    <n v="65605"/>
    <s v="2019-02-12"/>
    <x v="0"/>
    <n v="34"/>
    <n v="2"/>
  </r>
  <r>
    <n v="5586"/>
    <x v="478"/>
    <x v="6"/>
    <x v="4"/>
    <n v="82449"/>
    <s v="2023-03-22"/>
    <x v="0"/>
    <n v="33"/>
    <n v="1"/>
  </r>
  <r>
    <n v="5587"/>
    <x v="479"/>
    <x v="6"/>
    <x v="0"/>
    <n v="31169"/>
    <s v="2016-03-27"/>
    <x v="1"/>
    <n v="55"/>
    <n v="2"/>
  </r>
  <r>
    <n v="5588"/>
    <x v="480"/>
    <x v="1"/>
    <x v="8"/>
    <n v="87520"/>
    <s v="2024-06-21"/>
    <x v="1"/>
    <n v="25"/>
    <n v="4"/>
  </r>
  <r>
    <n v="5589"/>
    <x v="481"/>
    <x v="2"/>
    <x v="3"/>
    <n v="124830"/>
    <s v="2018-11-03"/>
    <x v="0"/>
    <n v="46"/>
    <n v="2"/>
  </r>
  <r>
    <n v="5590"/>
    <x v="482"/>
    <x v="3"/>
    <x v="7"/>
    <n v="48880"/>
    <s v="2016-03-16"/>
    <x v="0"/>
    <n v="39"/>
    <n v="3"/>
  </r>
  <r>
    <n v="5591"/>
    <x v="254"/>
    <x v="7"/>
    <x v="9"/>
    <n v="62365"/>
    <s v="2017-02-07"/>
    <x v="0"/>
    <n v="54"/>
    <n v="1"/>
  </r>
  <r>
    <n v="5592"/>
    <x v="483"/>
    <x v="7"/>
    <x v="1"/>
    <n v="144610"/>
    <s v="2020-07-30"/>
    <x v="1"/>
    <n v="51"/>
    <n v="4"/>
  </r>
  <r>
    <n v="5593"/>
    <x v="484"/>
    <x v="9"/>
    <x v="6"/>
    <n v="46536"/>
    <s v="2016-11-02"/>
    <x v="1"/>
    <n v="22"/>
    <n v="4"/>
  </r>
  <r>
    <n v="5594"/>
    <x v="485"/>
    <x v="2"/>
    <x v="6"/>
    <n v="42744"/>
    <s v="2021-09-20"/>
    <x v="1"/>
    <n v="39"/>
    <n v="3"/>
  </r>
  <r>
    <n v="5595"/>
    <x v="456"/>
    <x v="2"/>
    <x v="1"/>
    <n v="82857"/>
    <s v="2024-02-28"/>
    <x v="1"/>
    <n v="30"/>
    <n v="4"/>
  </r>
  <r>
    <n v="5596"/>
    <x v="123"/>
    <x v="4"/>
    <x v="2"/>
    <n v="94501"/>
    <s v="2017-10-02"/>
    <x v="1"/>
    <n v="31"/>
    <n v="3"/>
  </r>
  <r>
    <n v="5597"/>
    <x v="486"/>
    <x v="4"/>
    <x v="5"/>
    <n v="140701"/>
    <s v="2018-01-10"/>
    <x v="0"/>
    <n v="49"/>
    <n v="3"/>
  </r>
  <r>
    <n v="5598"/>
    <x v="232"/>
    <x v="0"/>
    <x v="8"/>
    <n v="139276"/>
    <s v="2021-12-11"/>
    <x v="1"/>
    <n v="55"/>
    <n v="4"/>
  </r>
  <r>
    <n v="5599"/>
    <x v="487"/>
    <x v="1"/>
    <x v="5"/>
    <n v="29447"/>
    <s v="2024-09-22"/>
    <x v="1"/>
    <n v="42"/>
    <n v="4"/>
  </r>
  <r>
    <n v="5600"/>
    <x v="448"/>
    <x v="9"/>
    <x v="1"/>
    <n v="114089"/>
    <s v="2021-04-20"/>
    <x v="1"/>
    <n v="30"/>
    <n v="5"/>
  </r>
  <r>
    <n v="5601"/>
    <x v="120"/>
    <x v="8"/>
    <x v="3"/>
    <n v="46776"/>
    <s v="2022-07-12"/>
    <x v="1"/>
    <n v="48"/>
    <n v="3"/>
  </r>
  <r>
    <n v="5602"/>
    <x v="488"/>
    <x v="2"/>
    <x v="7"/>
    <n v="43309"/>
    <s v="2023-12-14"/>
    <x v="0"/>
    <n v="41"/>
    <n v="5"/>
  </r>
  <r>
    <n v="5603"/>
    <x v="489"/>
    <x v="4"/>
    <x v="4"/>
    <n v="90724"/>
    <s v="2023-09-27"/>
    <x v="1"/>
    <n v="45"/>
    <n v="2"/>
  </r>
  <r>
    <n v="5604"/>
    <x v="490"/>
    <x v="9"/>
    <x v="5"/>
    <n v="42613"/>
    <s v="2023-05-19"/>
    <x v="1"/>
    <n v="37"/>
    <n v="5"/>
  </r>
  <r>
    <n v="5605"/>
    <x v="79"/>
    <x v="7"/>
    <x v="3"/>
    <n v="138004"/>
    <s v="2018-07-05"/>
    <x v="0"/>
    <n v="42"/>
    <n v="2"/>
  </r>
  <r>
    <n v="5606"/>
    <x v="491"/>
    <x v="2"/>
    <x v="8"/>
    <n v="139058"/>
    <s v="2018-06-02"/>
    <x v="0"/>
    <n v="25"/>
    <n v="3"/>
  </r>
  <r>
    <n v="5607"/>
    <x v="492"/>
    <x v="6"/>
    <x v="6"/>
    <n v="129969"/>
    <s v="2017-08-17"/>
    <x v="0"/>
    <n v="36"/>
    <n v="2"/>
  </r>
  <r>
    <n v="5608"/>
    <x v="493"/>
    <x v="2"/>
    <x v="0"/>
    <n v="135797"/>
    <s v="2017-10-26"/>
    <x v="1"/>
    <n v="52"/>
    <n v="3"/>
  </r>
  <r>
    <n v="5609"/>
    <x v="175"/>
    <x v="5"/>
    <x v="3"/>
    <n v="87520"/>
    <s v="2022-04-30"/>
    <x v="0"/>
    <n v="38"/>
    <n v="2"/>
  </r>
  <r>
    <n v="5610"/>
    <x v="36"/>
    <x v="2"/>
    <x v="2"/>
    <n v="28800"/>
    <s v="2022-03-09"/>
    <x v="1"/>
    <n v="21"/>
    <n v="3"/>
  </r>
  <r>
    <n v="5611"/>
    <x v="494"/>
    <x v="6"/>
    <x v="2"/>
    <n v="38731"/>
    <s v="2021-01-28"/>
    <x v="1"/>
    <n v="35"/>
    <n v="3"/>
  </r>
  <r>
    <n v="5612"/>
    <x v="495"/>
    <x v="7"/>
    <x v="0"/>
    <n v="138883"/>
    <s v="2022-05-25"/>
    <x v="0"/>
    <n v="44"/>
    <n v="1"/>
  </r>
  <r>
    <n v="5613"/>
    <x v="496"/>
    <x v="5"/>
    <x v="5"/>
    <n v="141955"/>
    <s v="2016-01-15"/>
    <x v="1"/>
    <n v="45"/>
    <n v="4"/>
  </r>
  <r>
    <n v="5614"/>
    <x v="99"/>
    <x v="9"/>
    <x v="6"/>
    <n v="100039"/>
    <s v="2019-02-08"/>
    <x v="1"/>
    <n v="30"/>
    <n v="4"/>
  </r>
  <r>
    <n v="5615"/>
    <x v="414"/>
    <x v="0"/>
    <x v="5"/>
    <n v="148653"/>
    <s v="2021-06-06"/>
    <x v="0"/>
    <n v="22"/>
    <n v="3"/>
  </r>
  <r>
    <n v="5616"/>
    <x v="497"/>
    <x v="3"/>
    <x v="7"/>
    <n v="124638"/>
    <s v="2017-02-03"/>
    <x v="1"/>
    <n v="39"/>
    <n v="3"/>
  </r>
  <r>
    <n v="5617"/>
    <x v="5"/>
    <x v="9"/>
    <x v="5"/>
    <n v="136400"/>
    <s v="2018-08-29"/>
    <x v="1"/>
    <n v="48"/>
    <n v="2"/>
  </r>
  <r>
    <n v="5618"/>
    <x v="355"/>
    <x v="5"/>
    <x v="3"/>
    <n v="107322"/>
    <s v="2024-05-07"/>
    <x v="0"/>
    <n v="32"/>
    <n v="5"/>
  </r>
  <r>
    <n v="5619"/>
    <x v="498"/>
    <x v="5"/>
    <x v="9"/>
    <n v="87520"/>
    <s v="2016-05-05"/>
    <x v="1"/>
    <n v="38"/>
    <n v="1"/>
  </r>
  <r>
    <n v="5620"/>
    <x v="499"/>
    <x v="2"/>
    <x v="3"/>
    <n v="148319"/>
    <s v="2018-08-12"/>
    <x v="1"/>
    <n v="40"/>
    <n v="2"/>
  </r>
  <r>
    <n v="5621"/>
    <x v="500"/>
    <x v="4"/>
    <x v="5"/>
    <n v="98259"/>
    <s v="2023-11-06"/>
    <x v="0"/>
    <n v="43"/>
    <n v="1"/>
  </r>
  <r>
    <n v="5622"/>
    <x v="292"/>
    <x v="2"/>
    <x v="3"/>
    <n v="138791"/>
    <s v="2018-01-13"/>
    <x v="0"/>
    <n v="55"/>
    <n v="1"/>
  </r>
  <r>
    <n v="5623"/>
    <x v="501"/>
    <x v="2"/>
    <x v="9"/>
    <n v="119531"/>
    <s v="2020-02-09"/>
    <x v="1"/>
    <n v="28"/>
    <n v="1"/>
  </r>
  <r>
    <n v="5624"/>
    <x v="502"/>
    <x v="0"/>
    <x v="1"/>
    <n v="78414"/>
    <s v="2020-05-01"/>
    <x v="0"/>
    <n v="33"/>
    <n v="1"/>
  </r>
  <r>
    <n v="5625"/>
    <x v="503"/>
    <x v="2"/>
    <x v="7"/>
    <n v="51877"/>
    <s v="2023-10-05"/>
    <x v="0"/>
    <n v="21"/>
    <n v="4"/>
  </r>
  <r>
    <n v="5626"/>
    <x v="504"/>
    <x v="0"/>
    <x v="5"/>
    <n v="90810"/>
    <s v="2017-02-12"/>
    <x v="1"/>
    <n v="32"/>
    <n v="2"/>
  </r>
  <r>
    <n v="5627"/>
    <x v="441"/>
    <x v="7"/>
    <x v="4"/>
    <n v="46774"/>
    <s v="2018-06-18"/>
    <x v="1"/>
    <n v="36"/>
    <n v="1"/>
  </r>
  <r>
    <n v="5628"/>
    <x v="505"/>
    <x v="9"/>
    <x v="7"/>
    <n v="133950"/>
    <s v="2019-04-21"/>
    <x v="1"/>
    <n v="37"/>
    <n v="2"/>
  </r>
  <r>
    <n v="5629"/>
    <x v="410"/>
    <x v="8"/>
    <x v="9"/>
    <n v="134129"/>
    <s v="2022-11-10"/>
    <x v="1"/>
    <n v="29"/>
    <n v="2"/>
  </r>
  <r>
    <n v="5630"/>
    <x v="506"/>
    <x v="2"/>
    <x v="9"/>
    <n v="84469"/>
    <s v="2020-04-23"/>
    <x v="1"/>
    <n v="41"/>
    <n v="3"/>
  </r>
  <r>
    <n v="5631"/>
    <x v="507"/>
    <x v="9"/>
    <x v="1"/>
    <n v="71627"/>
    <s v="2016-01-05"/>
    <x v="0"/>
    <n v="55"/>
    <n v="3"/>
  </r>
  <r>
    <n v="5632"/>
    <x v="508"/>
    <x v="2"/>
    <x v="1"/>
    <n v="87520"/>
    <s v="2016-03-24"/>
    <x v="0"/>
    <n v="53"/>
    <n v="3"/>
  </r>
  <r>
    <n v="5633"/>
    <x v="509"/>
    <x v="3"/>
    <x v="9"/>
    <n v="149496"/>
    <s v="2019-04-11"/>
    <x v="0"/>
    <n v="31"/>
    <n v="2"/>
  </r>
  <r>
    <n v="5634"/>
    <x v="158"/>
    <x v="7"/>
    <x v="3"/>
    <n v="33007"/>
    <s v="2024-09-17"/>
    <x v="1"/>
    <n v="39"/>
    <n v="4"/>
  </r>
  <r>
    <n v="5635"/>
    <x v="510"/>
    <x v="7"/>
    <x v="4"/>
    <n v="51379"/>
    <s v="2021-06-18"/>
    <x v="0"/>
    <n v="26"/>
    <n v="4"/>
  </r>
  <r>
    <n v="5636"/>
    <x v="511"/>
    <x v="2"/>
    <x v="5"/>
    <n v="42103"/>
    <s v="2016-03-22"/>
    <x v="1"/>
    <n v="53"/>
    <n v="5"/>
  </r>
  <r>
    <n v="5637"/>
    <x v="18"/>
    <x v="8"/>
    <x v="1"/>
    <n v="115058"/>
    <s v="2016-07-03"/>
    <x v="1"/>
    <n v="37"/>
    <n v="5"/>
  </r>
  <r>
    <n v="5638"/>
    <x v="316"/>
    <x v="1"/>
    <x v="3"/>
    <n v="102244"/>
    <s v="2020-12-13"/>
    <x v="1"/>
    <n v="21"/>
    <n v="5"/>
  </r>
  <r>
    <n v="5639"/>
    <x v="177"/>
    <x v="5"/>
    <x v="7"/>
    <n v="65323"/>
    <s v="2018-08-12"/>
    <x v="0"/>
    <n v="40"/>
    <n v="1"/>
  </r>
  <r>
    <n v="5640"/>
    <x v="512"/>
    <x v="1"/>
    <x v="8"/>
    <n v="46852"/>
    <s v="2022-05-05"/>
    <x v="0"/>
    <n v="22"/>
    <n v="5"/>
  </r>
  <r>
    <n v="5641"/>
    <x v="106"/>
    <x v="5"/>
    <x v="8"/>
    <n v="103046"/>
    <s v="2022-01-27"/>
    <x v="1"/>
    <n v="26"/>
    <n v="3"/>
  </r>
  <r>
    <n v="5642"/>
    <x v="407"/>
    <x v="1"/>
    <x v="1"/>
    <n v="146489"/>
    <s v="2021-05-28"/>
    <x v="0"/>
    <n v="53"/>
    <n v="4"/>
  </r>
  <r>
    <n v="5643"/>
    <x v="513"/>
    <x v="8"/>
    <x v="0"/>
    <n v="31093"/>
    <s v="2018-04-25"/>
    <x v="0"/>
    <n v="54"/>
    <n v="5"/>
  </r>
  <r>
    <n v="5644"/>
    <x v="445"/>
    <x v="2"/>
    <x v="5"/>
    <n v="42100"/>
    <s v="2024-12-23"/>
    <x v="0"/>
    <n v="49"/>
    <n v="4"/>
  </r>
  <r>
    <n v="5645"/>
    <x v="97"/>
    <x v="4"/>
    <x v="6"/>
    <n v="31039"/>
    <s v="2021-04-05"/>
    <x v="0"/>
    <n v="49"/>
    <n v="1"/>
  </r>
  <r>
    <n v="5646"/>
    <x v="279"/>
    <x v="7"/>
    <x v="9"/>
    <n v="143771"/>
    <s v="2021-10-15"/>
    <x v="1"/>
    <n v="41"/>
    <n v="1"/>
  </r>
  <r>
    <n v="5647"/>
    <x v="478"/>
    <x v="0"/>
    <x v="1"/>
    <n v="82656"/>
    <s v="2023-10-11"/>
    <x v="1"/>
    <n v="22"/>
    <n v="4"/>
  </r>
  <r>
    <n v="5648"/>
    <x v="258"/>
    <x v="1"/>
    <x v="3"/>
    <n v="92473"/>
    <s v="2016-05-10"/>
    <x v="0"/>
    <n v="41"/>
    <n v="2"/>
  </r>
  <r>
    <n v="5649"/>
    <x v="514"/>
    <x v="5"/>
    <x v="1"/>
    <n v="127728"/>
    <s v="2024-09-08"/>
    <x v="2"/>
    <n v="48"/>
    <n v="2"/>
  </r>
  <r>
    <n v="5650"/>
    <x v="515"/>
    <x v="5"/>
    <x v="5"/>
    <n v="37728"/>
    <s v="2020-03-24"/>
    <x v="0"/>
    <n v="27"/>
    <n v="3"/>
  </r>
  <r>
    <n v="5651"/>
    <x v="204"/>
    <x v="0"/>
    <x v="7"/>
    <n v="87520"/>
    <s v="2020-11-22"/>
    <x v="1"/>
    <n v="33"/>
    <n v="2"/>
  </r>
  <r>
    <n v="5652"/>
    <x v="241"/>
    <x v="5"/>
    <x v="5"/>
    <n v="103301"/>
    <s v="2021-05-23"/>
    <x v="0"/>
    <n v="50"/>
    <n v="1"/>
  </r>
  <r>
    <n v="5653"/>
    <x v="516"/>
    <x v="5"/>
    <x v="4"/>
    <n v="97528"/>
    <s v="2018-04-16"/>
    <x v="0"/>
    <n v="48"/>
    <n v="5"/>
  </r>
  <r>
    <n v="5654"/>
    <x v="517"/>
    <x v="4"/>
    <x v="8"/>
    <n v="60693"/>
    <s v="2022-09-22"/>
    <x v="0"/>
    <n v="54"/>
    <n v="3"/>
  </r>
  <r>
    <n v="5655"/>
    <x v="329"/>
    <x v="4"/>
    <x v="9"/>
    <n v="104228"/>
    <s v="2017-08-24"/>
    <x v="1"/>
    <n v="46"/>
    <n v="1"/>
  </r>
  <r>
    <n v="5656"/>
    <x v="17"/>
    <x v="2"/>
    <x v="0"/>
    <n v="135278"/>
    <s v="2023-08-24"/>
    <x v="2"/>
    <n v="43"/>
    <n v="5"/>
  </r>
  <r>
    <n v="5657"/>
    <x v="518"/>
    <x v="7"/>
    <x v="3"/>
    <n v="49773"/>
    <s v="2021-11-30"/>
    <x v="1"/>
    <n v="43"/>
    <n v="5"/>
  </r>
  <r>
    <n v="5658"/>
    <x v="161"/>
    <x v="0"/>
    <x v="5"/>
    <n v="134245"/>
    <s v="2023-11-18"/>
    <x v="0"/>
    <n v="27"/>
    <n v="2"/>
  </r>
  <r>
    <n v="5659"/>
    <x v="519"/>
    <x v="5"/>
    <x v="3"/>
    <n v="58336"/>
    <s v="2016-05-22"/>
    <x v="2"/>
    <n v="34"/>
    <n v="5"/>
  </r>
  <r>
    <n v="5660"/>
    <x v="520"/>
    <x v="6"/>
    <x v="4"/>
    <n v="112181"/>
    <s v="2021-01-18"/>
    <x v="0"/>
    <n v="30"/>
    <n v="2"/>
  </r>
  <r>
    <n v="5661"/>
    <x v="137"/>
    <x v="8"/>
    <x v="6"/>
    <n v="65984"/>
    <s v="2017-01-02"/>
    <x v="1"/>
    <n v="27"/>
    <n v="5"/>
  </r>
  <r>
    <n v="5662"/>
    <x v="521"/>
    <x v="9"/>
    <x v="5"/>
    <n v="141112"/>
    <s v="2021-05-29"/>
    <x v="1"/>
    <n v="44"/>
    <n v="1"/>
  </r>
  <r>
    <n v="5663"/>
    <x v="35"/>
    <x v="2"/>
    <x v="1"/>
    <n v="49190"/>
    <s v="2021-11-25"/>
    <x v="1"/>
    <n v="50"/>
    <n v="2"/>
  </r>
  <r>
    <n v="5664"/>
    <x v="26"/>
    <x v="9"/>
    <x v="3"/>
    <n v="99590"/>
    <s v="2023-10-31"/>
    <x v="0"/>
    <n v="50"/>
    <n v="4"/>
  </r>
  <r>
    <n v="5665"/>
    <x v="522"/>
    <x v="9"/>
    <x v="8"/>
    <n v="87520"/>
    <s v="2018-10-03"/>
    <x v="0"/>
    <n v="48"/>
    <n v="3"/>
  </r>
  <r>
    <n v="5666"/>
    <x v="196"/>
    <x v="9"/>
    <x v="4"/>
    <n v="96483"/>
    <s v="2019-02-15"/>
    <x v="1"/>
    <n v="53"/>
    <n v="2"/>
  </r>
  <r>
    <n v="5667"/>
    <x v="523"/>
    <x v="8"/>
    <x v="3"/>
    <n v="86561"/>
    <s v="2020-06-06"/>
    <x v="1"/>
    <n v="23"/>
    <n v="3"/>
  </r>
  <r>
    <n v="5668"/>
    <x v="221"/>
    <x v="0"/>
    <x v="6"/>
    <n v="59098"/>
    <s v="2022-05-22"/>
    <x v="0"/>
    <n v="32"/>
    <n v="3"/>
  </r>
  <r>
    <n v="5669"/>
    <x v="524"/>
    <x v="8"/>
    <x v="1"/>
    <n v="103159"/>
    <s v="2016-03-04"/>
    <x v="1"/>
    <n v="43"/>
    <n v="2"/>
  </r>
  <r>
    <n v="5670"/>
    <x v="525"/>
    <x v="6"/>
    <x v="2"/>
    <n v="75561"/>
    <s v="2018-12-14"/>
    <x v="1"/>
    <n v="26"/>
    <n v="2"/>
  </r>
  <r>
    <n v="5671"/>
    <x v="2"/>
    <x v="1"/>
    <x v="3"/>
    <n v="40615"/>
    <s v="2019-01-25"/>
    <x v="0"/>
    <n v="42"/>
    <n v="4"/>
  </r>
  <r>
    <n v="5672"/>
    <x v="526"/>
    <x v="9"/>
    <x v="8"/>
    <n v="90363"/>
    <s v="2020-12-10"/>
    <x v="0"/>
    <n v="29"/>
    <n v="2"/>
  </r>
  <r>
    <n v="5673"/>
    <x v="344"/>
    <x v="4"/>
    <x v="0"/>
    <n v="87520"/>
    <s v="2016-06-12"/>
    <x v="0"/>
    <n v="32"/>
    <n v="1"/>
  </r>
  <r>
    <n v="5674"/>
    <x v="527"/>
    <x v="6"/>
    <x v="3"/>
    <n v="89280"/>
    <s v="2017-08-13"/>
    <x v="1"/>
    <n v="23"/>
    <n v="4"/>
  </r>
  <r>
    <n v="5675"/>
    <x v="528"/>
    <x v="3"/>
    <x v="9"/>
    <n v="73803"/>
    <s v="2017-05-14"/>
    <x v="0"/>
    <n v="51"/>
    <n v="5"/>
  </r>
  <r>
    <n v="5676"/>
    <x v="529"/>
    <x v="3"/>
    <x v="9"/>
    <n v="87520"/>
    <s v="2021-09-20"/>
    <x v="0"/>
    <n v="48"/>
    <n v="3"/>
  </r>
  <r>
    <n v="5677"/>
    <x v="29"/>
    <x v="1"/>
    <x v="2"/>
    <n v="84421"/>
    <s v="2018-12-11"/>
    <x v="0"/>
    <n v="30"/>
    <n v="1"/>
  </r>
  <r>
    <n v="5678"/>
    <x v="530"/>
    <x v="9"/>
    <x v="9"/>
    <n v="135732"/>
    <s v="2019-06-22"/>
    <x v="0"/>
    <n v="44"/>
    <n v="2"/>
  </r>
  <r>
    <n v="5679"/>
    <x v="531"/>
    <x v="8"/>
    <x v="2"/>
    <n v="28390"/>
    <s v="2019-12-30"/>
    <x v="0"/>
    <n v="23"/>
    <n v="2"/>
  </r>
  <r>
    <n v="5680"/>
    <x v="532"/>
    <x v="4"/>
    <x v="4"/>
    <n v="127614"/>
    <s v="2022-11-27"/>
    <x v="0"/>
    <n v="27"/>
    <n v="5"/>
  </r>
  <r>
    <n v="5681"/>
    <x v="424"/>
    <x v="6"/>
    <x v="1"/>
    <n v="131377"/>
    <s v="2022-05-22"/>
    <x v="0"/>
    <n v="33"/>
    <n v="3"/>
  </r>
  <r>
    <n v="5682"/>
    <x v="134"/>
    <x v="6"/>
    <x v="3"/>
    <n v="139729"/>
    <s v="2018-11-10"/>
    <x v="1"/>
    <n v="26"/>
    <n v="1"/>
  </r>
  <r>
    <n v="5683"/>
    <x v="372"/>
    <x v="4"/>
    <x v="3"/>
    <n v="129550"/>
    <s v="2016-02-27"/>
    <x v="1"/>
    <n v="43"/>
    <n v="3"/>
  </r>
  <r>
    <n v="5684"/>
    <x v="533"/>
    <x v="9"/>
    <x v="9"/>
    <n v="34089"/>
    <s v="2017-03-10"/>
    <x v="0"/>
    <n v="23"/>
    <n v="4"/>
  </r>
  <r>
    <n v="5685"/>
    <x v="534"/>
    <x v="2"/>
    <x v="2"/>
    <n v="116902"/>
    <s v="2024-07-24"/>
    <x v="0"/>
    <n v="28"/>
    <n v="1"/>
  </r>
  <r>
    <n v="5686"/>
    <x v="405"/>
    <x v="8"/>
    <x v="4"/>
    <n v="53079"/>
    <s v="2022-08-31"/>
    <x v="1"/>
    <n v="40"/>
    <n v="5"/>
  </r>
  <r>
    <n v="5687"/>
    <x v="373"/>
    <x v="6"/>
    <x v="2"/>
    <n v="71392"/>
    <s v="2022-02-11"/>
    <x v="0"/>
    <n v="44"/>
    <n v="5"/>
  </r>
  <r>
    <n v="5688"/>
    <x v="535"/>
    <x v="7"/>
    <x v="3"/>
    <n v="148614"/>
    <s v="2022-04-30"/>
    <x v="0"/>
    <n v="43"/>
    <n v="2"/>
  </r>
  <r>
    <n v="5689"/>
    <x v="536"/>
    <x v="6"/>
    <x v="1"/>
    <n v="139052"/>
    <s v="2020-02-21"/>
    <x v="0"/>
    <n v="34"/>
    <n v="3"/>
  </r>
  <r>
    <n v="5690"/>
    <x v="537"/>
    <x v="3"/>
    <x v="4"/>
    <n v="73161"/>
    <s v="2017-05-31"/>
    <x v="1"/>
    <n v="39"/>
    <n v="1"/>
  </r>
  <r>
    <n v="5691"/>
    <x v="446"/>
    <x v="2"/>
    <x v="8"/>
    <n v="48362"/>
    <s v="2020-01-15"/>
    <x v="1"/>
    <n v="50"/>
    <n v="1"/>
  </r>
  <r>
    <n v="5692"/>
    <x v="538"/>
    <x v="4"/>
    <x v="1"/>
    <n v="42323"/>
    <s v="2018-10-08"/>
    <x v="1"/>
    <n v="23"/>
    <n v="4"/>
  </r>
  <r>
    <n v="5693"/>
    <x v="539"/>
    <x v="2"/>
    <x v="3"/>
    <n v="67651"/>
    <s v="2021-03-09"/>
    <x v="0"/>
    <n v="39"/>
    <n v="1"/>
  </r>
  <r>
    <n v="5694"/>
    <x v="279"/>
    <x v="8"/>
    <x v="5"/>
    <n v="82014"/>
    <s v="2019-04-24"/>
    <x v="1"/>
    <n v="45"/>
    <n v="4"/>
  </r>
  <r>
    <n v="5695"/>
    <x v="540"/>
    <x v="3"/>
    <x v="6"/>
    <n v="28579"/>
    <s v="2017-07-08"/>
    <x v="0"/>
    <n v="51"/>
    <n v="1"/>
  </r>
  <r>
    <n v="5696"/>
    <x v="156"/>
    <x v="4"/>
    <x v="6"/>
    <n v="55934"/>
    <s v="2017-08-08"/>
    <x v="0"/>
    <n v="33"/>
    <n v="1"/>
  </r>
  <r>
    <n v="5697"/>
    <x v="223"/>
    <x v="3"/>
    <x v="9"/>
    <n v="65302"/>
    <s v="2021-12-21"/>
    <x v="0"/>
    <n v="35"/>
    <n v="3"/>
  </r>
  <r>
    <n v="5698"/>
    <x v="452"/>
    <x v="2"/>
    <x v="3"/>
    <n v="76071"/>
    <s v="2024-08-24"/>
    <x v="1"/>
    <n v="37"/>
    <n v="3"/>
  </r>
  <r>
    <n v="5699"/>
    <x v="541"/>
    <x v="9"/>
    <x v="2"/>
    <n v="57522"/>
    <s v="2022-03-10"/>
    <x v="0"/>
    <n v="27"/>
    <n v="5"/>
  </r>
  <r>
    <n v="5700"/>
    <x v="542"/>
    <x v="5"/>
    <x v="2"/>
    <n v="114017"/>
    <s v="2020-03-10"/>
    <x v="1"/>
    <n v="32"/>
    <n v="2"/>
  </r>
  <r>
    <n v="5701"/>
    <x v="543"/>
    <x v="8"/>
    <x v="0"/>
    <n v="85431"/>
    <s v="2022-12-04"/>
    <x v="0"/>
    <n v="47"/>
    <n v="1"/>
  </r>
  <r>
    <n v="5702"/>
    <x v="81"/>
    <x v="6"/>
    <x v="3"/>
    <n v="46336"/>
    <s v="2016-09-09"/>
    <x v="1"/>
    <n v="49"/>
    <n v="4"/>
  </r>
  <r>
    <n v="5703"/>
    <x v="544"/>
    <x v="6"/>
    <x v="9"/>
    <n v="146483"/>
    <s v="2016-09-05"/>
    <x v="1"/>
    <n v="44"/>
    <n v="4"/>
  </r>
  <r>
    <n v="5704"/>
    <x v="545"/>
    <x v="3"/>
    <x v="0"/>
    <n v="37440"/>
    <s v="2020-03-01"/>
    <x v="0"/>
    <n v="38"/>
    <n v="1"/>
  </r>
  <r>
    <n v="5705"/>
    <x v="529"/>
    <x v="8"/>
    <x v="0"/>
    <n v="42297"/>
    <s v="2017-04-07"/>
    <x v="1"/>
    <n v="39"/>
    <n v="2"/>
  </r>
  <r>
    <n v="5706"/>
    <x v="546"/>
    <x v="9"/>
    <x v="6"/>
    <n v="42499"/>
    <s v="2019-08-02"/>
    <x v="1"/>
    <n v="53"/>
    <n v="1"/>
  </r>
  <r>
    <n v="5707"/>
    <x v="176"/>
    <x v="0"/>
    <x v="5"/>
    <n v="132461"/>
    <s v="2018-02-04"/>
    <x v="0"/>
    <n v="47"/>
    <n v="1"/>
  </r>
  <r>
    <n v="5708"/>
    <x v="547"/>
    <x v="0"/>
    <x v="3"/>
    <n v="142811"/>
    <s v="2018-08-20"/>
    <x v="1"/>
    <n v="42"/>
    <n v="1"/>
  </r>
  <r>
    <n v="5709"/>
    <x v="548"/>
    <x v="0"/>
    <x v="6"/>
    <n v="132336"/>
    <s v="2023-09-05"/>
    <x v="0"/>
    <n v="21"/>
    <n v="5"/>
  </r>
  <r>
    <n v="5710"/>
    <x v="549"/>
    <x v="6"/>
    <x v="3"/>
    <n v="30396"/>
    <s v="2021-09-16"/>
    <x v="1"/>
    <n v="49"/>
    <n v="2"/>
  </r>
  <r>
    <n v="5711"/>
    <x v="550"/>
    <x v="1"/>
    <x v="6"/>
    <n v="129484"/>
    <s v="2023-01-23"/>
    <x v="1"/>
    <n v="46"/>
    <n v="4"/>
  </r>
  <r>
    <n v="5712"/>
    <x v="100"/>
    <x v="5"/>
    <x v="7"/>
    <n v="118768"/>
    <s v="2021-07-31"/>
    <x v="1"/>
    <n v="25"/>
    <n v="2"/>
  </r>
  <r>
    <n v="5713"/>
    <x v="551"/>
    <x v="6"/>
    <x v="5"/>
    <n v="68640"/>
    <s v="2024-01-31"/>
    <x v="1"/>
    <n v="47"/>
    <n v="4"/>
  </r>
  <r>
    <n v="5714"/>
    <x v="552"/>
    <x v="4"/>
    <x v="1"/>
    <n v="72180"/>
    <s v="2022-02-09"/>
    <x v="0"/>
    <n v="37"/>
    <n v="5"/>
  </r>
  <r>
    <n v="5715"/>
    <x v="507"/>
    <x v="9"/>
    <x v="8"/>
    <n v="87520"/>
    <s v="2023-11-25"/>
    <x v="0"/>
    <n v="39"/>
    <n v="3"/>
  </r>
  <r>
    <n v="5716"/>
    <x v="525"/>
    <x v="5"/>
    <x v="1"/>
    <n v="47944"/>
    <s v="2024-01-31"/>
    <x v="1"/>
    <n v="42"/>
    <n v="5"/>
  </r>
  <r>
    <n v="5717"/>
    <x v="213"/>
    <x v="0"/>
    <x v="3"/>
    <n v="99208"/>
    <s v="2020-09-06"/>
    <x v="1"/>
    <n v="25"/>
    <n v="3"/>
  </r>
  <r>
    <n v="5718"/>
    <x v="553"/>
    <x v="3"/>
    <x v="8"/>
    <n v="65310"/>
    <s v="2023-12-07"/>
    <x v="1"/>
    <n v="28"/>
    <n v="5"/>
  </r>
  <r>
    <n v="5719"/>
    <x v="554"/>
    <x v="2"/>
    <x v="6"/>
    <n v="149274"/>
    <s v="2017-01-17"/>
    <x v="1"/>
    <n v="23"/>
    <n v="4"/>
  </r>
  <r>
    <n v="5720"/>
    <x v="555"/>
    <x v="8"/>
    <x v="5"/>
    <n v="124220"/>
    <s v="2017-10-31"/>
    <x v="0"/>
    <n v="40"/>
    <n v="3"/>
  </r>
  <r>
    <n v="5721"/>
    <x v="438"/>
    <x v="9"/>
    <x v="8"/>
    <n v="89908"/>
    <s v="2024-04-01"/>
    <x v="1"/>
    <n v="34"/>
    <n v="4"/>
  </r>
  <r>
    <n v="5722"/>
    <x v="556"/>
    <x v="3"/>
    <x v="5"/>
    <n v="63745"/>
    <s v="2017-01-10"/>
    <x v="1"/>
    <n v="41"/>
    <n v="2"/>
  </r>
  <r>
    <n v="5723"/>
    <x v="557"/>
    <x v="4"/>
    <x v="1"/>
    <n v="51054"/>
    <s v="2019-09-24"/>
    <x v="1"/>
    <n v="38"/>
    <n v="2"/>
  </r>
  <r>
    <n v="5724"/>
    <x v="558"/>
    <x v="5"/>
    <x v="2"/>
    <n v="65315"/>
    <s v="2017-07-03"/>
    <x v="2"/>
    <n v="26"/>
    <n v="5"/>
  </r>
  <r>
    <n v="5725"/>
    <x v="559"/>
    <x v="4"/>
    <x v="4"/>
    <n v="39398"/>
    <s v="2019-05-21"/>
    <x v="0"/>
    <n v="51"/>
    <n v="5"/>
  </r>
  <r>
    <n v="5726"/>
    <x v="226"/>
    <x v="5"/>
    <x v="0"/>
    <n v="49432"/>
    <s v="2020-12-27"/>
    <x v="1"/>
    <n v="26"/>
    <n v="3"/>
  </r>
  <r>
    <n v="5727"/>
    <x v="280"/>
    <x v="8"/>
    <x v="2"/>
    <n v="63673"/>
    <s v="2023-02-11"/>
    <x v="0"/>
    <n v="25"/>
    <n v="5"/>
  </r>
  <r>
    <n v="5728"/>
    <x v="332"/>
    <x v="6"/>
    <x v="7"/>
    <n v="81747"/>
    <s v="2021-06-06"/>
    <x v="0"/>
    <n v="52"/>
    <n v="2"/>
  </r>
  <r>
    <n v="5729"/>
    <x v="560"/>
    <x v="8"/>
    <x v="7"/>
    <n v="95020"/>
    <s v="2024-10-19"/>
    <x v="0"/>
    <n v="41"/>
    <n v="1"/>
  </r>
  <r>
    <n v="5730"/>
    <x v="561"/>
    <x v="4"/>
    <x v="1"/>
    <n v="121102"/>
    <s v="2019-10-24"/>
    <x v="0"/>
    <n v="38"/>
    <n v="3"/>
  </r>
  <r>
    <n v="5731"/>
    <x v="562"/>
    <x v="5"/>
    <x v="2"/>
    <n v="103296"/>
    <s v="2016-10-21"/>
    <x v="1"/>
    <n v="46"/>
    <n v="5"/>
  </r>
  <r>
    <n v="5732"/>
    <x v="277"/>
    <x v="3"/>
    <x v="2"/>
    <n v="109630"/>
    <s v="2019-10-04"/>
    <x v="0"/>
    <n v="44"/>
    <n v="5"/>
  </r>
  <r>
    <n v="5733"/>
    <x v="563"/>
    <x v="6"/>
    <x v="2"/>
    <n v="146943"/>
    <s v="2018-03-19"/>
    <x v="0"/>
    <n v="25"/>
    <n v="4"/>
  </r>
  <r>
    <n v="5734"/>
    <x v="564"/>
    <x v="7"/>
    <x v="6"/>
    <n v="54437"/>
    <s v="2017-09-29"/>
    <x v="2"/>
    <n v="21"/>
    <n v="4"/>
  </r>
  <r>
    <n v="5735"/>
    <x v="100"/>
    <x v="9"/>
    <x v="8"/>
    <n v="84417"/>
    <s v="2024-03-26"/>
    <x v="1"/>
    <n v="24"/>
    <n v="2"/>
  </r>
  <r>
    <n v="5736"/>
    <x v="245"/>
    <x v="6"/>
    <x v="4"/>
    <n v="84126"/>
    <s v="2016-11-06"/>
    <x v="0"/>
    <n v="40"/>
    <n v="4"/>
  </r>
  <r>
    <n v="5737"/>
    <x v="565"/>
    <x v="4"/>
    <x v="7"/>
    <n v="129717"/>
    <s v="2022-05-02"/>
    <x v="1"/>
    <n v="39"/>
    <n v="4"/>
  </r>
  <r>
    <n v="5738"/>
    <x v="236"/>
    <x v="3"/>
    <x v="5"/>
    <n v="63516"/>
    <s v="2017-04-26"/>
    <x v="0"/>
    <n v="43"/>
    <n v="4"/>
  </r>
  <r>
    <n v="5739"/>
    <x v="566"/>
    <x v="1"/>
    <x v="2"/>
    <n v="87520"/>
    <s v="2017-11-11"/>
    <x v="1"/>
    <n v="21"/>
    <n v="1"/>
  </r>
  <r>
    <n v="5740"/>
    <x v="421"/>
    <x v="6"/>
    <x v="9"/>
    <n v="83251"/>
    <s v="2024-05-27"/>
    <x v="1"/>
    <n v="30"/>
    <n v="3"/>
  </r>
  <r>
    <n v="5741"/>
    <x v="567"/>
    <x v="6"/>
    <x v="4"/>
    <n v="74311"/>
    <s v="2020-02-22"/>
    <x v="1"/>
    <n v="26"/>
    <n v="3"/>
  </r>
  <r>
    <n v="5742"/>
    <x v="568"/>
    <x v="5"/>
    <x v="1"/>
    <n v="52051"/>
    <s v="2023-01-17"/>
    <x v="1"/>
    <n v="49"/>
    <n v="2"/>
  </r>
  <r>
    <n v="5743"/>
    <x v="569"/>
    <x v="4"/>
    <x v="3"/>
    <n v="125418"/>
    <s v="2018-09-11"/>
    <x v="0"/>
    <n v="28"/>
    <n v="2"/>
  </r>
  <r>
    <n v="5744"/>
    <x v="570"/>
    <x v="4"/>
    <x v="2"/>
    <n v="29626"/>
    <s v="2018-02-11"/>
    <x v="1"/>
    <n v="42"/>
    <n v="4"/>
  </r>
  <r>
    <n v="5745"/>
    <x v="571"/>
    <x v="3"/>
    <x v="0"/>
    <n v="145213"/>
    <s v="2017-12-11"/>
    <x v="0"/>
    <n v="26"/>
    <n v="2"/>
  </r>
  <r>
    <n v="5746"/>
    <x v="524"/>
    <x v="9"/>
    <x v="8"/>
    <n v="134875"/>
    <s v="2021-01-04"/>
    <x v="1"/>
    <n v="38"/>
    <n v="2"/>
  </r>
  <r>
    <n v="5747"/>
    <x v="572"/>
    <x v="5"/>
    <x v="8"/>
    <n v="53405"/>
    <s v="2022-01-14"/>
    <x v="1"/>
    <n v="43"/>
    <n v="1"/>
  </r>
  <r>
    <n v="5748"/>
    <x v="421"/>
    <x v="5"/>
    <x v="1"/>
    <n v="133043"/>
    <s v="2020-07-28"/>
    <x v="0"/>
    <n v="47"/>
    <n v="1"/>
  </r>
  <r>
    <n v="5749"/>
    <x v="55"/>
    <x v="6"/>
    <x v="1"/>
    <n v="111506"/>
    <s v="2019-12-14"/>
    <x v="1"/>
    <n v="47"/>
    <n v="1"/>
  </r>
  <r>
    <n v="5750"/>
    <x v="573"/>
    <x v="8"/>
    <x v="7"/>
    <n v="34991"/>
    <s v="2016-01-23"/>
    <x v="1"/>
    <n v="46"/>
    <n v="1"/>
  </r>
  <r>
    <n v="5751"/>
    <x v="111"/>
    <x v="7"/>
    <x v="1"/>
    <n v="87520"/>
    <s v="2020-05-15"/>
    <x v="1"/>
    <n v="30"/>
    <n v="4"/>
  </r>
  <r>
    <n v="5752"/>
    <x v="574"/>
    <x v="2"/>
    <x v="9"/>
    <n v="45106"/>
    <s v="2023-01-05"/>
    <x v="0"/>
    <n v="29"/>
    <n v="3"/>
  </r>
  <r>
    <n v="5753"/>
    <x v="512"/>
    <x v="2"/>
    <x v="7"/>
    <n v="105851"/>
    <s v="2017-07-25"/>
    <x v="1"/>
    <n v="25"/>
    <n v="5"/>
  </r>
  <r>
    <n v="5754"/>
    <x v="575"/>
    <x v="3"/>
    <x v="9"/>
    <n v="67886"/>
    <s v="2021-12-15"/>
    <x v="0"/>
    <n v="26"/>
    <n v="4"/>
  </r>
  <r>
    <n v="5755"/>
    <x v="576"/>
    <x v="7"/>
    <x v="4"/>
    <n v="122809"/>
    <s v="2023-05-17"/>
    <x v="1"/>
    <n v="38"/>
    <n v="3"/>
  </r>
  <r>
    <n v="5756"/>
    <x v="548"/>
    <x v="1"/>
    <x v="6"/>
    <n v="48127"/>
    <s v="2019-12-22"/>
    <x v="1"/>
    <n v="51"/>
    <n v="3"/>
  </r>
  <r>
    <n v="5757"/>
    <x v="577"/>
    <x v="2"/>
    <x v="2"/>
    <n v="129594"/>
    <s v="2016-06-11"/>
    <x v="2"/>
    <n v="44"/>
    <n v="5"/>
  </r>
  <r>
    <n v="5758"/>
    <x v="517"/>
    <x v="9"/>
    <x v="9"/>
    <n v="32054"/>
    <s v="2020-11-28"/>
    <x v="0"/>
    <n v="55"/>
    <n v="1"/>
  </r>
  <r>
    <n v="5759"/>
    <x v="578"/>
    <x v="5"/>
    <x v="3"/>
    <n v="112655"/>
    <s v="2017-04-18"/>
    <x v="1"/>
    <n v="26"/>
    <n v="1"/>
  </r>
  <r>
    <n v="5760"/>
    <x v="561"/>
    <x v="5"/>
    <x v="7"/>
    <n v="34576"/>
    <s v="2021-12-17"/>
    <x v="0"/>
    <n v="31"/>
    <n v="4"/>
  </r>
  <r>
    <n v="5761"/>
    <x v="579"/>
    <x v="4"/>
    <x v="6"/>
    <n v="134574"/>
    <s v="2022-03-16"/>
    <x v="1"/>
    <n v="34"/>
    <n v="1"/>
  </r>
  <r>
    <n v="5762"/>
    <x v="580"/>
    <x v="4"/>
    <x v="0"/>
    <n v="75631"/>
    <s v="2016-01-10"/>
    <x v="0"/>
    <n v="21"/>
    <n v="4"/>
  </r>
  <r>
    <n v="5763"/>
    <x v="581"/>
    <x v="2"/>
    <x v="3"/>
    <n v="53454"/>
    <s v="2017-05-25"/>
    <x v="0"/>
    <n v="29"/>
    <n v="4"/>
  </r>
  <r>
    <n v="5764"/>
    <x v="556"/>
    <x v="6"/>
    <x v="5"/>
    <n v="87520"/>
    <s v="2022-07-03"/>
    <x v="1"/>
    <n v="47"/>
    <n v="4"/>
  </r>
  <r>
    <n v="5765"/>
    <x v="421"/>
    <x v="9"/>
    <x v="9"/>
    <n v="68359"/>
    <s v="2024-06-02"/>
    <x v="0"/>
    <n v="49"/>
    <n v="1"/>
  </r>
  <r>
    <n v="5766"/>
    <x v="286"/>
    <x v="6"/>
    <x v="9"/>
    <n v="93908"/>
    <s v="2016-05-09"/>
    <x v="1"/>
    <n v="32"/>
    <n v="2"/>
  </r>
  <r>
    <n v="5767"/>
    <x v="356"/>
    <x v="5"/>
    <x v="3"/>
    <n v="149594"/>
    <s v="2020-08-30"/>
    <x v="1"/>
    <n v="53"/>
    <n v="4"/>
  </r>
  <r>
    <n v="5768"/>
    <x v="495"/>
    <x v="6"/>
    <x v="0"/>
    <n v="87520"/>
    <s v="2023-05-28"/>
    <x v="1"/>
    <n v="54"/>
    <n v="1"/>
  </r>
  <r>
    <n v="5769"/>
    <x v="582"/>
    <x v="2"/>
    <x v="0"/>
    <n v="127207"/>
    <s v="2023-09-15"/>
    <x v="0"/>
    <n v="55"/>
    <n v="4"/>
  </r>
  <r>
    <n v="5770"/>
    <x v="583"/>
    <x v="7"/>
    <x v="6"/>
    <n v="123811"/>
    <s v="2022-05-13"/>
    <x v="1"/>
    <n v="39"/>
    <n v="2"/>
  </r>
  <r>
    <n v="5771"/>
    <x v="584"/>
    <x v="1"/>
    <x v="1"/>
    <n v="149543"/>
    <s v="2024-01-13"/>
    <x v="0"/>
    <n v="27"/>
    <n v="3"/>
  </r>
  <r>
    <n v="5772"/>
    <x v="585"/>
    <x v="7"/>
    <x v="4"/>
    <n v="29925"/>
    <s v="2018-10-31"/>
    <x v="1"/>
    <n v="27"/>
    <n v="5"/>
  </r>
  <r>
    <n v="5773"/>
    <x v="182"/>
    <x v="9"/>
    <x v="2"/>
    <n v="132354"/>
    <s v="2021-09-22"/>
    <x v="1"/>
    <n v="33"/>
    <n v="1"/>
  </r>
  <r>
    <n v="5774"/>
    <x v="586"/>
    <x v="9"/>
    <x v="2"/>
    <n v="141675"/>
    <s v="2022-07-07"/>
    <x v="0"/>
    <n v="43"/>
    <n v="2"/>
  </r>
  <r>
    <n v="5775"/>
    <x v="587"/>
    <x v="9"/>
    <x v="3"/>
    <n v="71356"/>
    <s v="2023-12-24"/>
    <x v="1"/>
    <n v="41"/>
    <n v="1"/>
  </r>
  <r>
    <n v="5776"/>
    <x v="466"/>
    <x v="8"/>
    <x v="7"/>
    <n v="92040"/>
    <s v="2023-07-05"/>
    <x v="0"/>
    <n v="50"/>
    <n v="4"/>
  </r>
  <r>
    <n v="5777"/>
    <x v="588"/>
    <x v="6"/>
    <x v="3"/>
    <n v="95659"/>
    <s v="2018-03-27"/>
    <x v="1"/>
    <n v="39"/>
    <n v="1"/>
  </r>
  <r>
    <n v="5778"/>
    <x v="589"/>
    <x v="5"/>
    <x v="8"/>
    <n v="36830"/>
    <s v="2022-08-12"/>
    <x v="1"/>
    <n v="36"/>
    <n v="1"/>
  </r>
  <r>
    <n v="5779"/>
    <x v="590"/>
    <x v="2"/>
    <x v="9"/>
    <n v="79784"/>
    <s v="2018-04-07"/>
    <x v="1"/>
    <n v="48"/>
    <n v="4"/>
  </r>
  <r>
    <n v="5780"/>
    <x v="446"/>
    <x v="2"/>
    <x v="7"/>
    <n v="91732"/>
    <s v="2016-12-27"/>
    <x v="1"/>
    <n v="36"/>
    <n v="5"/>
  </r>
  <r>
    <n v="5781"/>
    <x v="311"/>
    <x v="3"/>
    <x v="2"/>
    <n v="99626"/>
    <s v="2019-12-31"/>
    <x v="1"/>
    <n v="34"/>
    <n v="2"/>
  </r>
  <r>
    <n v="5782"/>
    <x v="591"/>
    <x v="4"/>
    <x v="0"/>
    <n v="125649"/>
    <s v="2019-10-15"/>
    <x v="0"/>
    <n v="23"/>
    <n v="3"/>
  </r>
  <r>
    <n v="5783"/>
    <x v="23"/>
    <x v="8"/>
    <x v="8"/>
    <n v="116154"/>
    <s v="2023-04-15"/>
    <x v="0"/>
    <n v="51"/>
    <n v="3"/>
  </r>
  <r>
    <n v="5784"/>
    <x v="592"/>
    <x v="6"/>
    <x v="0"/>
    <n v="80486"/>
    <s v="2024-06-29"/>
    <x v="0"/>
    <n v="34"/>
    <n v="3"/>
  </r>
  <r>
    <n v="5785"/>
    <x v="233"/>
    <x v="8"/>
    <x v="1"/>
    <n v="87520"/>
    <s v="2019-01-15"/>
    <x v="0"/>
    <n v="39"/>
    <n v="3"/>
  </r>
  <r>
    <n v="5786"/>
    <x v="593"/>
    <x v="5"/>
    <x v="1"/>
    <n v="145061"/>
    <s v="2022-12-21"/>
    <x v="0"/>
    <n v="23"/>
    <n v="3"/>
  </r>
  <r>
    <n v="5787"/>
    <x v="594"/>
    <x v="5"/>
    <x v="6"/>
    <n v="59194"/>
    <s v="2022-07-10"/>
    <x v="0"/>
    <n v="30"/>
    <n v="1"/>
  </r>
  <r>
    <n v="5788"/>
    <x v="595"/>
    <x v="1"/>
    <x v="6"/>
    <n v="114300"/>
    <s v="2018-06-19"/>
    <x v="1"/>
    <n v="46"/>
    <n v="3"/>
  </r>
  <r>
    <n v="5789"/>
    <x v="434"/>
    <x v="4"/>
    <x v="6"/>
    <n v="110782"/>
    <s v="2024-11-17"/>
    <x v="0"/>
    <n v="25"/>
    <n v="5"/>
  </r>
  <r>
    <n v="5790"/>
    <x v="596"/>
    <x v="9"/>
    <x v="1"/>
    <n v="66591"/>
    <s v="2022-03-14"/>
    <x v="1"/>
    <n v="52"/>
    <n v="2"/>
  </r>
  <r>
    <n v="5791"/>
    <x v="597"/>
    <x v="3"/>
    <x v="9"/>
    <n v="43537"/>
    <s v="2024-01-07"/>
    <x v="1"/>
    <n v="23"/>
    <n v="1"/>
  </r>
  <r>
    <n v="5792"/>
    <x v="598"/>
    <x v="2"/>
    <x v="6"/>
    <n v="128452"/>
    <s v="2017-11-18"/>
    <x v="1"/>
    <n v="28"/>
    <n v="3"/>
  </r>
  <r>
    <n v="5793"/>
    <x v="486"/>
    <x v="7"/>
    <x v="2"/>
    <n v="40707"/>
    <s v="2022-07-14"/>
    <x v="0"/>
    <n v="42"/>
    <n v="3"/>
  </r>
  <r>
    <n v="5794"/>
    <x v="595"/>
    <x v="5"/>
    <x v="1"/>
    <n v="49562"/>
    <s v="2020-01-07"/>
    <x v="0"/>
    <n v="55"/>
    <n v="2"/>
  </r>
  <r>
    <n v="5795"/>
    <x v="599"/>
    <x v="7"/>
    <x v="0"/>
    <n v="108669"/>
    <s v="2024-02-08"/>
    <x v="0"/>
    <n v="27"/>
    <n v="4"/>
  </r>
  <r>
    <n v="5796"/>
    <x v="600"/>
    <x v="5"/>
    <x v="8"/>
    <n v="137597"/>
    <s v="2024-10-28"/>
    <x v="0"/>
    <n v="21"/>
    <n v="2"/>
  </r>
  <r>
    <n v="5797"/>
    <x v="601"/>
    <x v="5"/>
    <x v="6"/>
    <n v="110496"/>
    <s v="2017-10-01"/>
    <x v="0"/>
    <n v="37"/>
    <n v="3"/>
  </r>
  <r>
    <n v="5798"/>
    <x v="602"/>
    <x v="6"/>
    <x v="0"/>
    <n v="76353"/>
    <s v="2024-08-25"/>
    <x v="0"/>
    <n v="49"/>
    <n v="3"/>
  </r>
  <r>
    <n v="5799"/>
    <x v="603"/>
    <x v="9"/>
    <x v="6"/>
    <n v="100807"/>
    <s v="2020-10-30"/>
    <x v="1"/>
    <n v="26"/>
    <n v="3"/>
  </r>
  <r>
    <n v="5800"/>
    <x v="604"/>
    <x v="0"/>
    <x v="9"/>
    <n v="87520"/>
    <s v="2019-12-04"/>
    <x v="1"/>
    <n v="42"/>
    <n v="2"/>
  </r>
  <r>
    <n v="5801"/>
    <x v="476"/>
    <x v="7"/>
    <x v="4"/>
    <n v="119537"/>
    <s v="2019-10-09"/>
    <x v="0"/>
    <n v="35"/>
    <n v="4"/>
  </r>
  <r>
    <n v="5802"/>
    <x v="284"/>
    <x v="9"/>
    <x v="1"/>
    <n v="87520"/>
    <s v="2023-02-12"/>
    <x v="0"/>
    <n v="38"/>
    <n v="5"/>
  </r>
  <r>
    <n v="5803"/>
    <x v="253"/>
    <x v="9"/>
    <x v="6"/>
    <n v="62214"/>
    <s v="2022-01-01"/>
    <x v="2"/>
    <n v="51"/>
    <n v="2"/>
  </r>
  <r>
    <n v="5804"/>
    <x v="561"/>
    <x v="9"/>
    <x v="6"/>
    <n v="45015"/>
    <s v="2022-01-11"/>
    <x v="1"/>
    <n v="40"/>
    <n v="3"/>
  </r>
  <r>
    <n v="5805"/>
    <x v="600"/>
    <x v="0"/>
    <x v="6"/>
    <n v="79366"/>
    <s v="2019-08-09"/>
    <x v="0"/>
    <n v="47"/>
    <n v="1"/>
  </r>
  <r>
    <n v="5806"/>
    <x v="605"/>
    <x v="3"/>
    <x v="9"/>
    <n v="66316"/>
    <s v="2023-07-10"/>
    <x v="0"/>
    <n v="39"/>
    <n v="1"/>
  </r>
  <r>
    <n v="5807"/>
    <x v="606"/>
    <x v="2"/>
    <x v="0"/>
    <n v="125493"/>
    <s v="2018-11-08"/>
    <x v="1"/>
    <n v="41"/>
    <n v="4"/>
  </r>
  <r>
    <n v="5808"/>
    <x v="419"/>
    <x v="1"/>
    <x v="9"/>
    <n v="32727"/>
    <s v="2021-12-04"/>
    <x v="1"/>
    <n v="46"/>
    <n v="4"/>
  </r>
  <r>
    <n v="5809"/>
    <x v="532"/>
    <x v="2"/>
    <x v="0"/>
    <n v="66025"/>
    <s v="2020-01-14"/>
    <x v="0"/>
    <n v="45"/>
    <n v="1"/>
  </r>
  <r>
    <n v="5810"/>
    <x v="359"/>
    <x v="2"/>
    <x v="2"/>
    <n v="82271"/>
    <s v="2020-03-01"/>
    <x v="2"/>
    <n v="45"/>
    <n v="3"/>
  </r>
  <r>
    <n v="5811"/>
    <x v="594"/>
    <x v="5"/>
    <x v="9"/>
    <n v="126373"/>
    <s v="2022-11-20"/>
    <x v="0"/>
    <n v="31"/>
    <n v="2"/>
  </r>
  <r>
    <n v="5812"/>
    <x v="607"/>
    <x v="5"/>
    <x v="4"/>
    <n v="86023"/>
    <s v="2017-08-07"/>
    <x v="0"/>
    <n v="55"/>
    <n v="3"/>
  </r>
  <r>
    <n v="5813"/>
    <x v="310"/>
    <x v="3"/>
    <x v="2"/>
    <n v="49711"/>
    <s v="2017-07-25"/>
    <x v="0"/>
    <n v="22"/>
    <n v="4"/>
  </r>
  <r>
    <n v="5814"/>
    <x v="608"/>
    <x v="4"/>
    <x v="7"/>
    <n v="105597"/>
    <s v="2021-07-11"/>
    <x v="1"/>
    <n v="34"/>
    <n v="2"/>
  </r>
  <r>
    <n v="5815"/>
    <x v="254"/>
    <x v="2"/>
    <x v="3"/>
    <n v="92190"/>
    <s v="2021-07-02"/>
    <x v="0"/>
    <n v="52"/>
    <n v="1"/>
  </r>
  <r>
    <n v="5816"/>
    <x v="151"/>
    <x v="9"/>
    <x v="3"/>
    <n v="80428"/>
    <s v="2018-02-11"/>
    <x v="0"/>
    <n v="52"/>
    <n v="2"/>
  </r>
  <r>
    <n v="5817"/>
    <x v="105"/>
    <x v="7"/>
    <x v="1"/>
    <n v="71445"/>
    <s v="2022-06-14"/>
    <x v="1"/>
    <n v="39"/>
    <n v="1"/>
  </r>
  <r>
    <n v="5818"/>
    <x v="45"/>
    <x v="7"/>
    <x v="6"/>
    <n v="87520"/>
    <s v="2020-11-26"/>
    <x v="1"/>
    <n v="44"/>
    <n v="2"/>
  </r>
  <r>
    <n v="5819"/>
    <x v="563"/>
    <x v="2"/>
    <x v="1"/>
    <n v="146311"/>
    <s v="2020-01-08"/>
    <x v="1"/>
    <n v="46"/>
    <n v="4"/>
  </r>
  <r>
    <n v="5820"/>
    <x v="609"/>
    <x v="4"/>
    <x v="9"/>
    <n v="99285"/>
    <s v="2024-12-22"/>
    <x v="0"/>
    <n v="50"/>
    <n v="4"/>
  </r>
  <r>
    <n v="5821"/>
    <x v="610"/>
    <x v="1"/>
    <x v="9"/>
    <n v="125154"/>
    <s v="2023-04-20"/>
    <x v="1"/>
    <n v="38"/>
    <n v="5"/>
  </r>
  <r>
    <n v="5822"/>
    <x v="611"/>
    <x v="0"/>
    <x v="1"/>
    <n v="87520"/>
    <s v="2019-11-11"/>
    <x v="1"/>
    <n v="44"/>
    <n v="3"/>
  </r>
  <r>
    <n v="5823"/>
    <x v="109"/>
    <x v="3"/>
    <x v="2"/>
    <n v="143857"/>
    <s v="2023-12-28"/>
    <x v="1"/>
    <n v="37"/>
    <n v="2"/>
  </r>
  <r>
    <n v="5824"/>
    <x v="612"/>
    <x v="9"/>
    <x v="8"/>
    <n v="29799"/>
    <s v="2022-01-02"/>
    <x v="0"/>
    <n v="39"/>
    <n v="2"/>
  </r>
  <r>
    <n v="5825"/>
    <x v="613"/>
    <x v="4"/>
    <x v="6"/>
    <n v="137234"/>
    <s v="2020-06-04"/>
    <x v="1"/>
    <n v="39"/>
    <n v="4"/>
  </r>
  <r>
    <n v="5826"/>
    <x v="614"/>
    <x v="9"/>
    <x v="2"/>
    <n v="110103"/>
    <s v="2021-01-14"/>
    <x v="0"/>
    <n v="53"/>
    <n v="1"/>
  </r>
  <r>
    <n v="5827"/>
    <x v="141"/>
    <x v="8"/>
    <x v="5"/>
    <n v="58151"/>
    <s v="2017-02-06"/>
    <x v="0"/>
    <n v="33"/>
    <n v="4"/>
  </r>
  <r>
    <n v="5828"/>
    <x v="593"/>
    <x v="7"/>
    <x v="8"/>
    <n v="46339"/>
    <s v="2023-05-20"/>
    <x v="1"/>
    <n v="54"/>
    <n v="3"/>
  </r>
  <r>
    <n v="5829"/>
    <x v="295"/>
    <x v="3"/>
    <x v="4"/>
    <n v="34994"/>
    <s v="2019-07-04"/>
    <x v="2"/>
    <n v="28"/>
    <n v="5"/>
  </r>
  <r>
    <n v="5830"/>
    <x v="296"/>
    <x v="7"/>
    <x v="6"/>
    <n v="96257"/>
    <s v="2023-09-11"/>
    <x v="0"/>
    <n v="55"/>
    <n v="3"/>
  </r>
  <r>
    <n v="5831"/>
    <x v="615"/>
    <x v="3"/>
    <x v="2"/>
    <n v="147234"/>
    <s v="2016-05-27"/>
    <x v="0"/>
    <n v="53"/>
    <n v="4"/>
  </r>
  <r>
    <n v="5832"/>
    <x v="67"/>
    <x v="5"/>
    <x v="9"/>
    <n v="61190"/>
    <s v="2016-11-28"/>
    <x v="2"/>
    <n v="26"/>
    <n v="5"/>
  </r>
  <r>
    <n v="5833"/>
    <x v="585"/>
    <x v="5"/>
    <x v="8"/>
    <n v="100497"/>
    <s v="2020-03-06"/>
    <x v="2"/>
    <n v="47"/>
    <n v="1"/>
  </r>
  <r>
    <n v="5834"/>
    <x v="616"/>
    <x v="1"/>
    <x v="9"/>
    <n v="75730"/>
    <s v="2021-01-14"/>
    <x v="0"/>
    <n v="45"/>
    <n v="2"/>
  </r>
  <r>
    <n v="5835"/>
    <x v="54"/>
    <x v="0"/>
    <x v="7"/>
    <n v="43304"/>
    <s v="2018-09-15"/>
    <x v="1"/>
    <n v="54"/>
    <n v="4"/>
  </r>
  <r>
    <n v="5836"/>
    <x v="617"/>
    <x v="1"/>
    <x v="2"/>
    <n v="110913"/>
    <s v="2020-03-07"/>
    <x v="0"/>
    <n v="51"/>
    <n v="2"/>
  </r>
  <r>
    <n v="5837"/>
    <x v="222"/>
    <x v="3"/>
    <x v="1"/>
    <n v="88306"/>
    <s v="2024-09-18"/>
    <x v="0"/>
    <n v="35"/>
    <n v="2"/>
  </r>
  <r>
    <n v="5838"/>
    <x v="618"/>
    <x v="6"/>
    <x v="5"/>
    <n v="55624"/>
    <s v="2020-01-14"/>
    <x v="0"/>
    <n v="45"/>
    <n v="3"/>
  </r>
  <r>
    <n v="5839"/>
    <x v="619"/>
    <x v="6"/>
    <x v="2"/>
    <n v="145230"/>
    <s v="2022-07-11"/>
    <x v="0"/>
    <n v="41"/>
    <n v="4"/>
  </r>
  <r>
    <n v="5840"/>
    <x v="620"/>
    <x v="5"/>
    <x v="7"/>
    <n v="77728"/>
    <s v="2024-11-18"/>
    <x v="0"/>
    <n v="48"/>
    <n v="1"/>
  </r>
  <r>
    <n v="5841"/>
    <x v="621"/>
    <x v="2"/>
    <x v="9"/>
    <n v="62142"/>
    <s v="2017-03-21"/>
    <x v="2"/>
    <n v="44"/>
    <n v="4"/>
  </r>
  <r>
    <n v="5842"/>
    <x v="45"/>
    <x v="0"/>
    <x v="8"/>
    <n v="125112"/>
    <s v="2024-04-17"/>
    <x v="1"/>
    <n v="55"/>
    <n v="1"/>
  </r>
  <r>
    <n v="5843"/>
    <x v="622"/>
    <x v="0"/>
    <x v="7"/>
    <n v="138245"/>
    <s v="2018-05-27"/>
    <x v="0"/>
    <n v="22"/>
    <n v="5"/>
  </r>
  <r>
    <n v="5844"/>
    <x v="623"/>
    <x v="9"/>
    <x v="8"/>
    <n v="98566"/>
    <s v="2018-01-17"/>
    <x v="0"/>
    <n v="48"/>
    <n v="4"/>
  </r>
  <r>
    <n v="5845"/>
    <x v="624"/>
    <x v="5"/>
    <x v="3"/>
    <n v="132933"/>
    <s v="2023-11-02"/>
    <x v="0"/>
    <n v="26"/>
    <n v="5"/>
  </r>
  <r>
    <n v="5846"/>
    <x v="625"/>
    <x v="7"/>
    <x v="5"/>
    <n v="146664"/>
    <s v="2020-03-26"/>
    <x v="1"/>
    <n v="45"/>
    <n v="2"/>
  </r>
  <r>
    <n v="5847"/>
    <x v="626"/>
    <x v="0"/>
    <x v="3"/>
    <n v="63580"/>
    <s v="2024-11-21"/>
    <x v="0"/>
    <n v="49"/>
    <n v="2"/>
  </r>
  <r>
    <n v="5848"/>
    <x v="605"/>
    <x v="0"/>
    <x v="6"/>
    <n v="102406"/>
    <s v="2016-02-25"/>
    <x v="0"/>
    <n v="52"/>
    <n v="5"/>
  </r>
  <r>
    <n v="5849"/>
    <x v="627"/>
    <x v="1"/>
    <x v="8"/>
    <n v="55340"/>
    <s v="2020-08-04"/>
    <x v="0"/>
    <n v="54"/>
    <n v="1"/>
  </r>
  <r>
    <n v="5850"/>
    <x v="628"/>
    <x v="1"/>
    <x v="5"/>
    <n v="146595"/>
    <s v="2023-10-09"/>
    <x v="0"/>
    <n v="24"/>
    <n v="5"/>
  </r>
  <r>
    <n v="5851"/>
    <x v="629"/>
    <x v="4"/>
    <x v="0"/>
    <n v="98096"/>
    <s v="2025-01-13"/>
    <x v="0"/>
    <n v="30"/>
    <n v="1"/>
  </r>
  <r>
    <n v="5852"/>
    <x v="426"/>
    <x v="3"/>
    <x v="6"/>
    <n v="94869"/>
    <s v="2020-03-17"/>
    <x v="0"/>
    <n v="38"/>
    <n v="1"/>
  </r>
  <r>
    <n v="5853"/>
    <x v="630"/>
    <x v="0"/>
    <x v="5"/>
    <n v="69359"/>
    <s v="2017-12-12"/>
    <x v="1"/>
    <n v="55"/>
    <n v="1"/>
  </r>
  <r>
    <n v="5854"/>
    <x v="552"/>
    <x v="2"/>
    <x v="3"/>
    <n v="75622"/>
    <s v="2023-11-07"/>
    <x v="1"/>
    <n v="21"/>
    <n v="3"/>
  </r>
  <r>
    <n v="5855"/>
    <x v="591"/>
    <x v="4"/>
    <x v="5"/>
    <n v="28812"/>
    <s v="2016-07-09"/>
    <x v="1"/>
    <n v="42"/>
    <n v="4"/>
  </r>
  <r>
    <n v="5856"/>
    <x v="631"/>
    <x v="0"/>
    <x v="2"/>
    <n v="67890"/>
    <s v="2020-04-03"/>
    <x v="0"/>
    <n v="44"/>
    <n v="3"/>
  </r>
  <r>
    <n v="5857"/>
    <x v="632"/>
    <x v="6"/>
    <x v="7"/>
    <n v="87520"/>
    <s v="2016-05-16"/>
    <x v="1"/>
    <n v="52"/>
    <n v="4"/>
  </r>
  <r>
    <n v="5858"/>
    <x v="633"/>
    <x v="3"/>
    <x v="9"/>
    <n v="43412"/>
    <s v="2017-05-21"/>
    <x v="0"/>
    <n v="49"/>
    <n v="4"/>
  </r>
  <r>
    <n v="5859"/>
    <x v="491"/>
    <x v="3"/>
    <x v="1"/>
    <n v="129462"/>
    <s v="2017-04-20"/>
    <x v="1"/>
    <n v="31"/>
    <n v="1"/>
  </r>
  <r>
    <n v="5860"/>
    <x v="634"/>
    <x v="0"/>
    <x v="0"/>
    <n v="119539"/>
    <s v="2021-07-02"/>
    <x v="1"/>
    <n v="31"/>
    <n v="2"/>
  </r>
  <r>
    <n v="5861"/>
    <x v="635"/>
    <x v="6"/>
    <x v="8"/>
    <n v="87520"/>
    <s v="2024-10-11"/>
    <x v="0"/>
    <n v="44"/>
    <n v="4"/>
  </r>
  <r>
    <n v="5862"/>
    <x v="233"/>
    <x v="6"/>
    <x v="9"/>
    <n v="136649"/>
    <s v="2023-06-03"/>
    <x v="1"/>
    <n v="50"/>
    <n v="4"/>
  </r>
  <r>
    <n v="5863"/>
    <x v="636"/>
    <x v="4"/>
    <x v="3"/>
    <n v="36121"/>
    <s v="2022-11-09"/>
    <x v="0"/>
    <n v="35"/>
    <n v="5"/>
  </r>
  <r>
    <n v="5864"/>
    <x v="637"/>
    <x v="1"/>
    <x v="8"/>
    <n v="101531"/>
    <s v="2024-11-18"/>
    <x v="0"/>
    <n v="46"/>
    <n v="1"/>
  </r>
  <r>
    <n v="5865"/>
    <x v="638"/>
    <x v="6"/>
    <x v="8"/>
    <n v="87520"/>
    <s v="2022-06-02"/>
    <x v="1"/>
    <n v="29"/>
    <n v="5"/>
  </r>
  <r>
    <n v="5866"/>
    <x v="639"/>
    <x v="5"/>
    <x v="5"/>
    <n v="111680"/>
    <s v="2017-12-10"/>
    <x v="1"/>
    <n v="29"/>
    <n v="5"/>
  </r>
  <r>
    <n v="5867"/>
    <x v="640"/>
    <x v="8"/>
    <x v="1"/>
    <n v="65093"/>
    <s v="2023-05-18"/>
    <x v="0"/>
    <n v="35"/>
    <n v="1"/>
  </r>
  <r>
    <n v="5868"/>
    <x v="641"/>
    <x v="6"/>
    <x v="6"/>
    <n v="41364"/>
    <s v="2020-02-02"/>
    <x v="0"/>
    <n v="46"/>
    <n v="3"/>
  </r>
  <r>
    <n v="5869"/>
    <x v="642"/>
    <x v="5"/>
    <x v="9"/>
    <n v="112976"/>
    <s v="2022-09-02"/>
    <x v="0"/>
    <n v="33"/>
    <n v="5"/>
  </r>
  <r>
    <n v="5870"/>
    <x v="445"/>
    <x v="0"/>
    <x v="2"/>
    <n v="147050"/>
    <s v="2024-09-06"/>
    <x v="1"/>
    <n v="38"/>
    <n v="2"/>
  </r>
  <r>
    <n v="5871"/>
    <x v="162"/>
    <x v="2"/>
    <x v="6"/>
    <n v="138817"/>
    <s v="2017-12-02"/>
    <x v="2"/>
    <n v="33"/>
    <n v="3"/>
  </r>
  <r>
    <n v="5872"/>
    <x v="643"/>
    <x v="3"/>
    <x v="6"/>
    <n v="87520"/>
    <s v="2024-08-26"/>
    <x v="0"/>
    <n v="53"/>
    <n v="3"/>
  </r>
  <r>
    <n v="5873"/>
    <x v="50"/>
    <x v="0"/>
    <x v="6"/>
    <n v="87520"/>
    <s v="2021-07-28"/>
    <x v="1"/>
    <n v="49"/>
    <n v="4"/>
  </r>
  <r>
    <n v="5874"/>
    <x v="58"/>
    <x v="5"/>
    <x v="8"/>
    <n v="87520"/>
    <s v="2018-07-29"/>
    <x v="1"/>
    <n v="39"/>
    <n v="3"/>
  </r>
  <r>
    <n v="5875"/>
    <x v="63"/>
    <x v="0"/>
    <x v="7"/>
    <n v="61527"/>
    <s v="2024-02-17"/>
    <x v="2"/>
    <n v="29"/>
    <n v="3"/>
  </r>
  <r>
    <n v="5876"/>
    <x v="309"/>
    <x v="4"/>
    <x v="0"/>
    <n v="44218"/>
    <s v="2018-12-07"/>
    <x v="0"/>
    <n v="22"/>
    <n v="1"/>
  </r>
  <r>
    <n v="5877"/>
    <x v="644"/>
    <x v="9"/>
    <x v="9"/>
    <n v="129100"/>
    <s v="2024-03-16"/>
    <x v="1"/>
    <n v="22"/>
    <n v="5"/>
  </r>
  <r>
    <n v="5878"/>
    <x v="43"/>
    <x v="3"/>
    <x v="8"/>
    <n v="98671"/>
    <s v="2023-06-20"/>
    <x v="1"/>
    <n v="47"/>
    <n v="3"/>
  </r>
  <r>
    <n v="5879"/>
    <x v="317"/>
    <x v="3"/>
    <x v="4"/>
    <n v="87520"/>
    <s v="2024-08-18"/>
    <x v="0"/>
    <n v="22"/>
    <n v="5"/>
  </r>
  <r>
    <n v="5880"/>
    <x v="336"/>
    <x v="1"/>
    <x v="1"/>
    <n v="125923"/>
    <s v="2021-03-13"/>
    <x v="0"/>
    <n v="25"/>
    <n v="4"/>
  </r>
  <r>
    <n v="5881"/>
    <x v="20"/>
    <x v="0"/>
    <x v="5"/>
    <n v="30401"/>
    <s v="2019-03-28"/>
    <x v="1"/>
    <n v="47"/>
    <n v="4"/>
  </r>
  <r>
    <n v="5882"/>
    <x v="645"/>
    <x v="9"/>
    <x v="2"/>
    <n v="78685"/>
    <s v="2019-12-28"/>
    <x v="0"/>
    <n v="42"/>
    <n v="2"/>
  </r>
  <r>
    <n v="5883"/>
    <x v="646"/>
    <x v="1"/>
    <x v="7"/>
    <n v="87520"/>
    <s v="2020-03-23"/>
    <x v="0"/>
    <n v="38"/>
    <n v="2"/>
  </r>
  <r>
    <n v="5884"/>
    <x v="647"/>
    <x v="7"/>
    <x v="1"/>
    <n v="60518"/>
    <s v="2019-08-13"/>
    <x v="1"/>
    <n v="54"/>
    <n v="5"/>
  </r>
  <r>
    <n v="5885"/>
    <x v="577"/>
    <x v="2"/>
    <x v="0"/>
    <n v="30776"/>
    <s v="2018-11-01"/>
    <x v="1"/>
    <n v="38"/>
    <n v="2"/>
  </r>
  <r>
    <n v="5886"/>
    <x v="234"/>
    <x v="7"/>
    <x v="1"/>
    <n v="92014"/>
    <s v="2017-01-26"/>
    <x v="0"/>
    <n v="48"/>
    <n v="3"/>
  </r>
  <r>
    <n v="5887"/>
    <x v="648"/>
    <x v="2"/>
    <x v="8"/>
    <n v="100215"/>
    <s v="2019-07-08"/>
    <x v="1"/>
    <n v="25"/>
    <n v="5"/>
  </r>
  <r>
    <n v="5888"/>
    <x v="318"/>
    <x v="3"/>
    <x v="9"/>
    <n v="40329"/>
    <s v="2016-02-12"/>
    <x v="0"/>
    <n v="30"/>
    <n v="1"/>
  </r>
  <r>
    <n v="5889"/>
    <x v="649"/>
    <x v="0"/>
    <x v="6"/>
    <n v="148087"/>
    <s v="2016-12-22"/>
    <x v="1"/>
    <n v="50"/>
    <n v="1"/>
  </r>
  <r>
    <n v="5890"/>
    <x v="585"/>
    <x v="6"/>
    <x v="5"/>
    <n v="133360"/>
    <s v="2019-02-20"/>
    <x v="1"/>
    <n v="54"/>
    <n v="2"/>
  </r>
  <r>
    <n v="5891"/>
    <x v="607"/>
    <x v="8"/>
    <x v="5"/>
    <n v="45453"/>
    <s v="2020-05-16"/>
    <x v="0"/>
    <n v="29"/>
    <n v="5"/>
  </r>
  <r>
    <n v="5892"/>
    <x v="650"/>
    <x v="7"/>
    <x v="1"/>
    <n v="77479"/>
    <s v="2018-12-19"/>
    <x v="1"/>
    <n v="33"/>
    <n v="3"/>
  </r>
  <r>
    <n v="5893"/>
    <x v="347"/>
    <x v="2"/>
    <x v="8"/>
    <n v="92272"/>
    <s v="2020-08-30"/>
    <x v="0"/>
    <n v="35"/>
    <n v="5"/>
  </r>
  <r>
    <n v="5894"/>
    <x v="39"/>
    <x v="3"/>
    <x v="1"/>
    <n v="126848"/>
    <s v="2021-09-01"/>
    <x v="1"/>
    <n v="25"/>
    <n v="5"/>
  </r>
  <r>
    <n v="5895"/>
    <x v="651"/>
    <x v="4"/>
    <x v="6"/>
    <n v="75091"/>
    <s v="2017-08-23"/>
    <x v="1"/>
    <n v="42"/>
    <n v="3"/>
  </r>
  <r>
    <n v="5896"/>
    <x v="652"/>
    <x v="1"/>
    <x v="8"/>
    <n v="105863"/>
    <s v="2021-07-25"/>
    <x v="0"/>
    <n v="39"/>
    <n v="5"/>
  </r>
  <r>
    <n v="5897"/>
    <x v="617"/>
    <x v="9"/>
    <x v="6"/>
    <n v="77488"/>
    <s v="2017-10-24"/>
    <x v="0"/>
    <n v="22"/>
    <n v="5"/>
  </r>
  <r>
    <n v="5898"/>
    <x v="653"/>
    <x v="8"/>
    <x v="6"/>
    <n v="73857"/>
    <s v="2021-10-28"/>
    <x v="0"/>
    <n v="36"/>
    <n v="4"/>
  </r>
  <r>
    <n v="5899"/>
    <x v="294"/>
    <x v="8"/>
    <x v="3"/>
    <n v="89273"/>
    <s v="2016-02-05"/>
    <x v="1"/>
    <n v="52"/>
    <n v="3"/>
  </r>
  <r>
    <n v="5900"/>
    <x v="35"/>
    <x v="5"/>
    <x v="0"/>
    <n v="97125"/>
    <s v="2023-08-08"/>
    <x v="1"/>
    <n v="55"/>
    <n v="1"/>
  </r>
  <r>
    <n v="5901"/>
    <x v="654"/>
    <x v="9"/>
    <x v="7"/>
    <n v="71077"/>
    <s v="2021-10-22"/>
    <x v="0"/>
    <n v="51"/>
    <n v="5"/>
  </r>
  <r>
    <n v="5902"/>
    <x v="39"/>
    <x v="3"/>
    <x v="2"/>
    <n v="105692"/>
    <s v="2023-07-04"/>
    <x v="1"/>
    <n v="54"/>
    <n v="5"/>
  </r>
  <r>
    <n v="5903"/>
    <x v="655"/>
    <x v="0"/>
    <x v="4"/>
    <n v="54372"/>
    <s v="2020-03-15"/>
    <x v="0"/>
    <n v="23"/>
    <n v="4"/>
  </r>
  <r>
    <n v="5904"/>
    <x v="294"/>
    <x v="7"/>
    <x v="3"/>
    <n v="126070"/>
    <s v="2017-01-13"/>
    <x v="1"/>
    <n v="22"/>
    <n v="3"/>
  </r>
  <r>
    <n v="5905"/>
    <x v="470"/>
    <x v="7"/>
    <x v="4"/>
    <n v="133568"/>
    <s v="2016-06-04"/>
    <x v="1"/>
    <n v="41"/>
    <n v="5"/>
  </r>
  <r>
    <n v="5906"/>
    <x v="634"/>
    <x v="6"/>
    <x v="5"/>
    <n v="52579"/>
    <s v="2017-08-14"/>
    <x v="0"/>
    <n v="45"/>
    <n v="4"/>
  </r>
  <r>
    <n v="5907"/>
    <x v="12"/>
    <x v="4"/>
    <x v="8"/>
    <n v="130813"/>
    <s v="2022-03-17"/>
    <x v="1"/>
    <n v="33"/>
    <n v="2"/>
  </r>
  <r>
    <n v="5908"/>
    <x v="656"/>
    <x v="0"/>
    <x v="8"/>
    <n v="50018"/>
    <s v="2017-06-15"/>
    <x v="0"/>
    <n v="44"/>
    <n v="4"/>
  </r>
  <r>
    <n v="5909"/>
    <x v="620"/>
    <x v="1"/>
    <x v="3"/>
    <n v="108889"/>
    <s v="2016-07-28"/>
    <x v="0"/>
    <n v="51"/>
    <n v="4"/>
  </r>
  <r>
    <n v="5910"/>
    <x v="657"/>
    <x v="8"/>
    <x v="5"/>
    <n v="69279"/>
    <s v="2019-02-06"/>
    <x v="2"/>
    <n v="28"/>
    <n v="4"/>
  </r>
  <r>
    <n v="5911"/>
    <x v="658"/>
    <x v="5"/>
    <x v="3"/>
    <n v="113872"/>
    <s v="2017-03-11"/>
    <x v="1"/>
    <n v="24"/>
    <n v="5"/>
  </r>
  <r>
    <n v="5912"/>
    <x v="659"/>
    <x v="5"/>
    <x v="3"/>
    <n v="118408"/>
    <s v="2021-08-23"/>
    <x v="1"/>
    <n v="33"/>
    <n v="5"/>
  </r>
  <r>
    <n v="5913"/>
    <x v="660"/>
    <x v="9"/>
    <x v="7"/>
    <n v="130020"/>
    <s v="2018-08-23"/>
    <x v="1"/>
    <n v="41"/>
    <n v="1"/>
  </r>
  <r>
    <n v="5914"/>
    <x v="418"/>
    <x v="8"/>
    <x v="6"/>
    <n v="126929"/>
    <s v="2024-07-11"/>
    <x v="0"/>
    <n v="32"/>
    <n v="3"/>
  </r>
  <r>
    <n v="5915"/>
    <x v="82"/>
    <x v="5"/>
    <x v="4"/>
    <n v="86912"/>
    <s v="2022-10-31"/>
    <x v="1"/>
    <n v="36"/>
    <n v="5"/>
  </r>
  <r>
    <n v="5916"/>
    <x v="661"/>
    <x v="7"/>
    <x v="5"/>
    <n v="88706"/>
    <s v="2020-08-12"/>
    <x v="1"/>
    <n v="33"/>
    <n v="3"/>
  </r>
  <r>
    <n v="5917"/>
    <x v="442"/>
    <x v="8"/>
    <x v="6"/>
    <n v="54032"/>
    <s v="2023-12-23"/>
    <x v="0"/>
    <n v="35"/>
    <n v="2"/>
  </r>
  <r>
    <n v="5918"/>
    <x v="496"/>
    <x v="8"/>
    <x v="8"/>
    <n v="123626"/>
    <s v="2018-04-16"/>
    <x v="1"/>
    <n v="53"/>
    <n v="2"/>
  </r>
  <r>
    <n v="5919"/>
    <x v="662"/>
    <x v="5"/>
    <x v="5"/>
    <n v="64377"/>
    <s v="2018-02-04"/>
    <x v="0"/>
    <n v="31"/>
    <n v="2"/>
  </r>
  <r>
    <n v="5920"/>
    <x v="663"/>
    <x v="9"/>
    <x v="9"/>
    <n v="35222"/>
    <s v="2018-08-22"/>
    <x v="0"/>
    <n v="52"/>
    <n v="2"/>
  </r>
  <r>
    <n v="5921"/>
    <x v="87"/>
    <x v="8"/>
    <x v="8"/>
    <n v="28749"/>
    <s v="2024-11-28"/>
    <x v="0"/>
    <n v="26"/>
    <n v="4"/>
  </r>
  <r>
    <n v="5922"/>
    <x v="664"/>
    <x v="4"/>
    <x v="0"/>
    <n v="31330"/>
    <s v="2019-12-29"/>
    <x v="0"/>
    <n v="32"/>
    <n v="2"/>
  </r>
  <r>
    <n v="5923"/>
    <x v="665"/>
    <x v="9"/>
    <x v="5"/>
    <n v="44740"/>
    <s v="2016-11-21"/>
    <x v="0"/>
    <n v="44"/>
    <n v="4"/>
  </r>
  <r>
    <n v="5924"/>
    <x v="99"/>
    <x v="0"/>
    <x v="2"/>
    <n v="70625"/>
    <s v="2023-04-20"/>
    <x v="1"/>
    <n v="23"/>
    <n v="3"/>
  </r>
  <r>
    <n v="5925"/>
    <x v="542"/>
    <x v="7"/>
    <x v="7"/>
    <n v="131723"/>
    <s v="2021-05-25"/>
    <x v="0"/>
    <n v="39"/>
    <n v="2"/>
  </r>
  <r>
    <n v="5926"/>
    <x v="221"/>
    <x v="2"/>
    <x v="3"/>
    <n v="149013"/>
    <s v="2016-10-21"/>
    <x v="1"/>
    <n v="25"/>
    <n v="3"/>
  </r>
  <r>
    <n v="5927"/>
    <x v="666"/>
    <x v="8"/>
    <x v="8"/>
    <n v="103322"/>
    <s v="2023-12-26"/>
    <x v="0"/>
    <n v="27"/>
    <n v="5"/>
  </r>
  <r>
    <n v="5928"/>
    <x v="357"/>
    <x v="3"/>
    <x v="5"/>
    <n v="59180"/>
    <s v="2024-07-07"/>
    <x v="0"/>
    <n v="33"/>
    <n v="5"/>
  </r>
  <r>
    <n v="5929"/>
    <x v="667"/>
    <x v="9"/>
    <x v="6"/>
    <n v="130254"/>
    <s v="2025-01-05"/>
    <x v="2"/>
    <n v="26"/>
    <n v="5"/>
  </r>
  <r>
    <n v="5930"/>
    <x v="668"/>
    <x v="4"/>
    <x v="4"/>
    <n v="120662"/>
    <s v="2019-01-24"/>
    <x v="0"/>
    <n v="40"/>
    <n v="1"/>
  </r>
  <r>
    <n v="5931"/>
    <x v="669"/>
    <x v="2"/>
    <x v="8"/>
    <n v="112854"/>
    <s v="2018-06-02"/>
    <x v="0"/>
    <n v="55"/>
    <n v="2"/>
  </r>
  <r>
    <n v="5932"/>
    <x v="299"/>
    <x v="1"/>
    <x v="8"/>
    <n v="148474"/>
    <s v="2018-05-26"/>
    <x v="0"/>
    <n v="27"/>
    <n v="2"/>
  </r>
  <r>
    <n v="5933"/>
    <x v="670"/>
    <x v="8"/>
    <x v="2"/>
    <n v="34559"/>
    <s v="2022-11-15"/>
    <x v="0"/>
    <n v="53"/>
    <n v="5"/>
  </r>
  <r>
    <n v="5934"/>
    <x v="671"/>
    <x v="8"/>
    <x v="5"/>
    <n v="74323"/>
    <s v="2020-05-22"/>
    <x v="0"/>
    <n v="50"/>
    <n v="2"/>
  </r>
  <r>
    <n v="5935"/>
    <x v="186"/>
    <x v="6"/>
    <x v="1"/>
    <n v="89400"/>
    <s v="2024-03-08"/>
    <x v="1"/>
    <n v="44"/>
    <n v="3"/>
  </r>
  <r>
    <n v="5936"/>
    <x v="672"/>
    <x v="2"/>
    <x v="5"/>
    <n v="107583"/>
    <s v="2021-08-25"/>
    <x v="0"/>
    <n v="39"/>
    <n v="3"/>
  </r>
  <r>
    <n v="5937"/>
    <x v="478"/>
    <x v="6"/>
    <x v="1"/>
    <n v="54424"/>
    <s v="2016-07-05"/>
    <x v="0"/>
    <n v="37"/>
    <n v="4"/>
  </r>
  <r>
    <n v="5938"/>
    <x v="193"/>
    <x v="7"/>
    <x v="1"/>
    <n v="40955"/>
    <s v="2024-09-16"/>
    <x v="0"/>
    <n v="24"/>
    <n v="3"/>
  </r>
  <r>
    <n v="5939"/>
    <x v="502"/>
    <x v="1"/>
    <x v="3"/>
    <n v="93839"/>
    <s v="2018-01-10"/>
    <x v="0"/>
    <n v="53"/>
    <n v="1"/>
  </r>
  <r>
    <n v="5940"/>
    <x v="673"/>
    <x v="4"/>
    <x v="8"/>
    <n v="110168"/>
    <s v="2019-03-25"/>
    <x v="1"/>
    <n v="54"/>
    <n v="2"/>
  </r>
  <r>
    <n v="5941"/>
    <x v="419"/>
    <x v="3"/>
    <x v="2"/>
    <n v="55898"/>
    <s v="2022-06-16"/>
    <x v="0"/>
    <n v="40"/>
    <n v="3"/>
  </r>
  <r>
    <n v="5942"/>
    <x v="74"/>
    <x v="1"/>
    <x v="4"/>
    <n v="87174"/>
    <s v="2018-05-30"/>
    <x v="1"/>
    <n v="43"/>
    <n v="1"/>
  </r>
  <r>
    <n v="5943"/>
    <x v="409"/>
    <x v="4"/>
    <x v="2"/>
    <n v="29006"/>
    <s v="2019-02-18"/>
    <x v="0"/>
    <n v="28"/>
    <n v="5"/>
  </r>
  <r>
    <n v="5944"/>
    <x v="674"/>
    <x v="6"/>
    <x v="1"/>
    <n v="48278"/>
    <s v="2022-03-07"/>
    <x v="0"/>
    <n v="52"/>
    <n v="5"/>
  </r>
  <r>
    <n v="5945"/>
    <x v="675"/>
    <x v="5"/>
    <x v="6"/>
    <n v="138635"/>
    <s v="2016-06-18"/>
    <x v="1"/>
    <n v="41"/>
    <n v="3"/>
  </r>
  <r>
    <n v="5946"/>
    <x v="394"/>
    <x v="7"/>
    <x v="6"/>
    <n v="131042"/>
    <s v="2020-11-25"/>
    <x v="0"/>
    <n v="54"/>
    <n v="2"/>
  </r>
  <r>
    <n v="5947"/>
    <x v="676"/>
    <x v="8"/>
    <x v="9"/>
    <n v="92192"/>
    <s v="2023-01-21"/>
    <x v="0"/>
    <n v="45"/>
    <n v="5"/>
  </r>
  <r>
    <n v="5948"/>
    <x v="171"/>
    <x v="6"/>
    <x v="2"/>
    <n v="137765"/>
    <s v="2022-04-21"/>
    <x v="0"/>
    <n v="50"/>
    <n v="5"/>
  </r>
  <r>
    <n v="5949"/>
    <x v="210"/>
    <x v="8"/>
    <x v="2"/>
    <n v="60673"/>
    <s v="2020-04-09"/>
    <x v="1"/>
    <n v="34"/>
    <n v="1"/>
  </r>
  <r>
    <n v="5950"/>
    <x v="357"/>
    <x v="5"/>
    <x v="0"/>
    <n v="111170"/>
    <s v="2024-02-24"/>
    <x v="0"/>
    <n v="28"/>
    <n v="5"/>
  </r>
  <r>
    <n v="5951"/>
    <x v="677"/>
    <x v="1"/>
    <x v="9"/>
    <n v="73752"/>
    <s v="2024-01-13"/>
    <x v="0"/>
    <n v="30"/>
    <n v="2"/>
  </r>
  <r>
    <n v="5952"/>
    <x v="250"/>
    <x v="7"/>
    <x v="3"/>
    <n v="83614"/>
    <s v="2019-12-18"/>
    <x v="1"/>
    <n v="39"/>
    <n v="4"/>
  </r>
  <r>
    <n v="5953"/>
    <x v="332"/>
    <x v="0"/>
    <x v="8"/>
    <n v="87520"/>
    <s v="2018-05-23"/>
    <x v="1"/>
    <n v="33"/>
    <n v="3"/>
  </r>
  <r>
    <n v="5954"/>
    <x v="133"/>
    <x v="9"/>
    <x v="1"/>
    <n v="66183"/>
    <s v="2017-01-10"/>
    <x v="0"/>
    <n v="41"/>
    <n v="3"/>
  </r>
  <r>
    <n v="5955"/>
    <x v="678"/>
    <x v="3"/>
    <x v="5"/>
    <n v="97815"/>
    <s v="2019-10-09"/>
    <x v="1"/>
    <n v="38"/>
    <n v="4"/>
  </r>
  <r>
    <n v="5956"/>
    <x v="36"/>
    <x v="9"/>
    <x v="8"/>
    <n v="54708"/>
    <s v="2024-09-25"/>
    <x v="1"/>
    <n v="54"/>
    <n v="4"/>
  </r>
  <r>
    <n v="5957"/>
    <x v="679"/>
    <x v="6"/>
    <x v="5"/>
    <n v="130172"/>
    <s v="2021-03-05"/>
    <x v="1"/>
    <n v="22"/>
    <n v="1"/>
  </r>
  <r>
    <n v="5958"/>
    <x v="354"/>
    <x v="5"/>
    <x v="9"/>
    <n v="56673"/>
    <s v="2022-01-26"/>
    <x v="1"/>
    <n v="54"/>
    <n v="5"/>
  </r>
  <r>
    <n v="5959"/>
    <x v="680"/>
    <x v="5"/>
    <x v="1"/>
    <n v="119285"/>
    <s v="2021-12-10"/>
    <x v="1"/>
    <n v="22"/>
    <n v="2"/>
  </r>
  <r>
    <n v="5960"/>
    <x v="2"/>
    <x v="9"/>
    <x v="9"/>
    <n v="123557"/>
    <s v="2019-09-09"/>
    <x v="0"/>
    <n v="53"/>
    <n v="2"/>
  </r>
  <r>
    <n v="5961"/>
    <x v="284"/>
    <x v="8"/>
    <x v="7"/>
    <n v="30589"/>
    <s v="2024-01-16"/>
    <x v="1"/>
    <n v="55"/>
    <n v="1"/>
  </r>
  <r>
    <n v="5962"/>
    <x v="681"/>
    <x v="0"/>
    <x v="5"/>
    <n v="36779"/>
    <s v="2016-09-01"/>
    <x v="1"/>
    <n v="34"/>
    <n v="1"/>
  </r>
  <r>
    <n v="5963"/>
    <x v="201"/>
    <x v="2"/>
    <x v="5"/>
    <n v="34951"/>
    <s v="2021-11-30"/>
    <x v="1"/>
    <n v="43"/>
    <n v="2"/>
  </r>
  <r>
    <n v="5964"/>
    <x v="682"/>
    <x v="7"/>
    <x v="5"/>
    <n v="93427"/>
    <s v="2020-06-04"/>
    <x v="1"/>
    <n v="22"/>
    <n v="1"/>
  </r>
  <r>
    <n v="5965"/>
    <x v="4"/>
    <x v="7"/>
    <x v="3"/>
    <n v="57584"/>
    <s v="2024-10-12"/>
    <x v="0"/>
    <n v="34"/>
    <n v="1"/>
  </r>
  <r>
    <n v="5966"/>
    <x v="683"/>
    <x v="7"/>
    <x v="9"/>
    <n v="66451"/>
    <s v="2016-10-16"/>
    <x v="0"/>
    <n v="28"/>
    <n v="5"/>
  </r>
  <r>
    <n v="5967"/>
    <x v="514"/>
    <x v="9"/>
    <x v="2"/>
    <n v="61491"/>
    <s v="2021-05-05"/>
    <x v="0"/>
    <n v="44"/>
    <n v="3"/>
  </r>
  <r>
    <n v="5968"/>
    <x v="684"/>
    <x v="3"/>
    <x v="1"/>
    <n v="82326"/>
    <s v="2016-09-28"/>
    <x v="1"/>
    <n v="45"/>
    <n v="1"/>
  </r>
  <r>
    <n v="5969"/>
    <x v="353"/>
    <x v="8"/>
    <x v="5"/>
    <n v="87520"/>
    <s v="2020-01-05"/>
    <x v="1"/>
    <n v="34"/>
    <n v="3"/>
  </r>
  <r>
    <n v="5970"/>
    <x v="685"/>
    <x v="3"/>
    <x v="4"/>
    <n v="118817"/>
    <s v="2025-01-03"/>
    <x v="1"/>
    <n v="55"/>
    <n v="1"/>
  </r>
  <r>
    <n v="5971"/>
    <x v="686"/>
    <x v="3"/>
    <x v="2"/>
    <n v="73335"/>
    <s v="2018-08-25"/>
    <x v="2"/>
    <n v="43"/>
    <n v="4"/>
  </r>
  <r>
    <n v="5972"/>
    <x v="272"/>
    <x v="1"/>
    <x v="7"/>
    <n v="91278"/>
    <s v="2016-05-05"/>
    <x v="1"/>
    <n v="23"/>
    <n v="5"/>
  </r>
  <r>
    <n v="5973"/>
    <x v="561"/>
    <x v="3"/>
    <x v="9"/>
    <n v="48658"/>
    <s v="2020-05-29"/>
    <x v="0"/>
    <n v="51"/>
    <n v="1"/>
  </r>
  <r>
    <n v="5974"/>
    <x v="687"/>
    <x v="5"/>
    <x v="4"/>
    <n v="148521"/>
    <s v="2016-02-20"/>
    <x v="1"/>
    <n v="48"/>
    <n v="2"/>
  </r>
  <r>
    <n v="5975"/>
    <x v="73"/>
    <x v="7"/>
    <x v="6"/>
    <n v="138358"/>
    <s v="2021-05-13"/>
    <x v="1"/>
    <n v="24"/>
    <n v="1"/>
  </r>
  <r>
    <n v="5976"/>
    <x v="688"/>
    <x v="8"/>
    <x v="1"/>
    <n v="93321"/>
    <s v="2021-03-21"/>
    <x v="1"/>
    <n v="37"/>
    <n v="4"/>
  </r>
  <r>
    <n v="5977"/>
    <x v="689"/>
    <x v="4"/>
    <x v="2"/>
    <n v="56220"/>
    <s v="2018-07-09"/>
    <x v="1"/>
    <n v="25"/>
    <n v="5"/>
  </r>
  <r>
    <n v="5978"/>
    <x v="446"/>
    <x v="4"/>
    <x v="4"/>
    <n v="54452"/>
    <s v="2022-05-05"/>
    <x v="0"/>
    <n v="43"/>
    <n v="4"/>
  </r>
  <r>
    <n v="5979"/>
    <x v="690"/>
    <x v="2"/>
    <x v="6"/>
    <n v="118536"/>
    <s v="2022-01-08"/>
    <x v="1"/>
    <n v="29"/>
    <n v="5"/>
  </r>
  <r>
    <n v="5980"/>
    <x v="668"/>
    <x v="1"/>
    <x v="3"/>
    <n v="108884"/>
    <s v="2018-08-20"/>
    <x v="0"/>
    <n v="37"/>
    <n v="3"/>
  </r>
  <r>
    <n v="5981"/>
    <x v="691"/>
    <x v="3"/>
    <x v="4"/>
    <n v="80754"/>
    <s v="2017-01-28"/>
    <x v="1"/>
    <n v="42"/>
    <n v="2"/>
  </r>
  <r>
    <n v="5982"/>
    <x v="503"/>
    <x v="4"/>
    <x v="7"/>
    <n v="146117"/>
    <s v="2023-01-13"/>
    <x v="0"/>
    <n v="50"/>
    <n v="2"/>
  </r>
  <r>
    <n v="5983"/>
    <x v="692"/>
    <x v="5"/>
    <x v="5"/>
    <n v="73670"/>
    <s v="2016-07-29"/>
    <x v="0"/>
    <n v="32"/>
    <n v="2"/>
  </r>
  <r>
    <n v="5984"/>
    <x v="693"/>
    <x v="2"/>
    <x v="1"/>
    <n v="38873"/>
    <s v="2020-02-28"/>
    <x v="0"/>
    <n v="27"/>
    <n v="4"/>
  </r>
  <r>
    <n v="5985"/>
    <x v="694"/>
    <x v="8"/>
    <x v="5"/>
    <n v="85291"/>
    <s v="2019-12-05"/>
    <x v="0"/>
    <n v="45"/>
    <n v="1"/>
  </r>
  <r>
    <n v="5986"/>
    <x v="567"/>
    <x v="0"/>
    <x v="4"/>
    <n v="87520"/>
    <s v="2017-06-17"/>
    <x v="1"/>
    <n v="45"/>
    <n v="1"/>
  </r>
  <r>
    <n v="5987"/>
    <x v="695"/>
    <x v="6"/>
    <x v="8"/>
    <n v="117194"/>
    <s v="2017-11-16"/>
    <x v="0"/>
    <n v="41"/>
    <n v="2"/>
  </r>
  <r>
    <n v="5988"/>
    <x v="696"/>
    <x v="9"/>
    <x v="2"/>
    <n v="87520"/>
    <s v="2018-05-29"/>
    <x v="1"/>
    <n v="43"/>
    <n v="5"/>
  </r>
  <r>
    <n v="5989"/>
    <x v="697"/>
    <x v="5"/>
    <x v="8"/>
    <n v="67752"/>
    <s v="2019-09-16"/>
    <x v="1"/>
    <n v="50"/>
    <n v="2"/>
  </r>
  <r>
    <n v="5990"/>
    <x v="631"/>
    <x v="3"/>
    <x v="1"/>
    <n v="99437"/>
    <s v="2016-01-02"/>
    <x v="0"/>
    <n v="37"/>
    <n v="4"/>
  </r>
  <r>
    <n v="5991"/>
    <x v="698"/>
    <x v="9"/>
    <x v="6"/>
    <n v="96565"/>
    <s v="2022-02-28"/>
    <x v="1"/>
    <n v="27"/>
    <n v="2"/>
  </r>
  <r>
    <n v="5992"/>
    <x v="699"/>
    <x v="2"/>
    <x v="5"/>
    <n v="89079"/>
    <s v="2022-10-31"/>
    <x v="0"/>
    <n v="26"/>
    <n v="4"/>
  </r>
  <r>
    <n v="5993"/>
    <x v="46"/>
    <x v="8"/>
    <x v="3"/>
    <n v="46624"/>
    <s v="2021-01-28"/>
    <x v="1"/>
    <n v="47"/>
    <n v="2"/>
  </r>
  <r>
    <n v="5994"/>
    <x v="385"/>
    <x v="0"/>
    <x v="6"/>
    <n v="74206"/>
    <s v="2016-12-11"/>
    <x v="0"/>
    <n v="50"/>
    <n v="1"/>
  </r>
  <r>
    <n v="5995"/>
    <x v="340"/>
    <x v="6"/>
    <x v="7"/>
    <n v="109353"/>
    <s v="2020-03-21"/>
    <x v="1"/>
    <n v="31"/>
    <n v="2"/>
  </r>
  <r>
    <n v="5996"/>
    <x v="344"/>
    <x v="0"/>
    <x v="9"/>
    <n v="83122"/>
    <s v="2019-04-30"/>
    <x v="1"/>
    <n v="32"/>
    <n v="1"/>
  </r>
  <r>
    <n v="5997"/>
    <x v="253"/>
    <x v="8"/>
    <x v="1"/>
    <n v="144863"/>
    <s v="2020-06-26"/>
    <x v="0"/>
    <n v="43"/>
    <n v="4"/>
  </r>
  <r>
    <n v="5998"/>
    <x v="472"/>
    <x v="6"/>
    <x v="7"/>
    <n v="37530"/>
    <s v="2018-12-22"/>
    <x v="0"/>
    <n v="47"/>
    <n v="5"/>
  </r>
  <r>
    <n v="5999"/>
    <x v="614"/>
    <x v="1"/>
    <x v="0"/>
    <n v="68870"/>
    <s v="2022-09-26"/>
    <x v="0"/>
    <n v="24"/>
    <n v="5"/>
  </r>
  <r>
    <n v="6000"/>
    <x v="700"/>
    <x v="8"/>
    <x v="8"/>
    <n v="98240"/>
    <s v="2024-05-17"/>
    <x v="0"/>
    <n v="32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BB86D-AF5B-4438-9772-3F052AACF2F3}" name="PivotTable9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18:J191" firstHeaderRow="1" firstDataRow="1" firstDataCol="1"/>
  <pivotFields count="9">
    <pivotField numFmtId="1" showAll="0"/>
    <pivotField axis="axisRow" showAll="0" measureFilter="1">
      <items count="702">
        <item x="27"/>
        <item x="393"/>
        <item x="661"/>
        <item x="265"/>
        <item x="9"/>
        <item x="429"/>
        <item x="183"/>
        <item x="166"/>
        <item x="194"/>
        <item x="44"/>
        <item x="280"/>
        <item x="282"/>
        <item x="435"/>
        <item x="279"/>
        <item x="233"/>
        <item x="312"/>
        <item x="543"/>
        <item x="326"/>
        <item x="38"/>
        <item x="602"/>
        <item x="359"/>
        <item x="627"/>
        <item x="205"/>
        <item x="553"/>
        <item x="325"/>
        <item x="287"/>
        <item x="680"/>
        <item x="374"/>
        <item x="673"/>
        <item x="199"/>
        <item x="223"/>
        <item x="72"/>
        <item x="549"/>
        <item x="187"/>
        <item x="347"/>
        <item x="132"/>
        <item x="300"/>
        <item x="376"/>
        <item x="76"/>
        <item x="371"/>
        <item x="426"/>
        <item x="559"/>
        <item x="139"/>
        <item x="93"/>
        <item x="173"/>
        <item x="81"/>
        <item x="397"/>
        <item x="80"/>
        <item x="677"/>
        <item x="555"/>
        <item x="524"/>
        <item x="443"/>
        <item x="18"/>
        <item x="657"/>
        <item x="62"/>
        <item x="114"/>
        <item x="91"/>
        <item x="387"/>
        <item x="149"/>
        <item x="461"/>
        <item x="186"/>
        <item x="154"/>
        <item x="304"/>
        <item x="256"/>
        <item x="292"/>
        <item x="470"/>
        <item x="415"/>
        <item x="207"/>
        <item x="449"/>
        <item x="419"/>
        <item x="8"/>
        <item x="228"/>
        <item x="286"/>
        <item x="687"/>
        <item x="22"/>
        <item x="324"/>
        <item x="373"/>
        <item x="63"/>
        <item x="465"/>
        <item x="587"/>
        <item x="690"/>
        <item x="485"/>
        <item x="283"/>
        <item x="214"/>
        <item x="368"/>
        <item x="51"/>
        <item x="331"/>
        <item x="102"/>
        <item x="179"/>
        <item x="267"/>
        <item x="584"/>
        <item x="339"/>
        <item x="650"/>
        <item x="362"/>
        <item x="244"/>
        <item x="165"/>
        <item x="138"/>
        <item x="637"/>
        <item x="231"/>
        <item x="479"/>
        <item x="13"/>
        <item x="517"/>
        <item x="107"/>
        <item x="487"/>
        <item x="352"/>
        <item x="55"/>
        <item x="532"/>
        <item x="7"/>
        <item x="314"/>
        <item x="247"/>
        <item x="507"/>
        <item x="623"/>
        <item x="103"/>
        <item x="505"/>
        <item x="529"/>
        <item x="259"/>
        <item x="533"/>
        <item x="695"/>
        <item x="441"/>
        <item x="406"/>
        <item x="482"/>
        <item x="309"/>
        <item x="611"/>
        <item x="257"/>
        <item x="405"/>
        <item x="597"/>
        <item x="600"/>
        <item x="140"/>
        <item x="160"/>
        <item x="320"/>
        <item x="317"/>
        <item x="348"/>
        <item x="17"/>
        <item x="118"/>
        <item x="699"/>
        <item x="284"/>
        <item x="566"/>
        <item x="142"/>
        <item x="453"/>
        <item x="26"/>
        <item x="297"/>
        <item x="57"/>
        <item x="462"/>
        <item x="135"/>
        <item x="340"/>
        <item x="414"/>
        <item x="341"/>
        <item x="134"/>
        <item x="634"/>
        <item x="394"/>
        <item x="498"/>
        <item x="567"/>
        <item x="281"/>
        <item x="78"/>
        <item x="665"/>
        <item x="536"/>
        <item x="360"/>
        <item x="646"/>
        <item x="83"/>
        <item x="125"/>
        <item x="293"/>
        <item x="639"/>
        <item x="329"/>
        <item x="113"/>
        <item x="230"/>
        <item x="418"/>
        <item x="219"/>
        <item x="157"/>
        <item x="557"/>
        <item x="175"/>
        <item x="629"/>
        <item x="464"/>
        <item x="4"/>
        <item x="481"/>
        <item x="654"/>
        <item x="388"/>
        <item x="182"/>
        <item x="143"/>
        <item x="407"/>
        <item x="250"/>
        <item x="659"/>
        <item x="480"/>
        <item x="151"/>
        <item x="583"/>
        <item x="41"/>
        <item x="52"/>
        <item x="430"/>
        <item x="236"/>
        <item x="370"/>
        <item x="689"/>
        <item x="294"/>
        <item x="155"/>
        <item x="649"/>
        <item x="478"/>
        <item x="121"/>
        <item x="251"/>
        <item x="24"/>
        <item x="428"/>
        <item x="111"/>
        <item x="361"/>
        <item x="311"/>
        <item x="177"/>
        <item x="445"/>
        <item x="544"/>
        <item x="586"/>
        <item x="421"/>
        <item x="303"/>
        <item x="275"/>
        <item x="88"/>
        <item x="152"/>
        <item x="386"/>
        <item x="573"/>
        <item x="558"/>
        <item x="580"/>
        <item x="176"/>
        <item x="200"/>
        <item x="440"/>
        <item x="578"/>
        <item x="37"/>
        <item x="653"/>
        <item x="582"/>
        <item x="120"/>
        <item x="174"/>
        <item x="253"/>
        <item x="472"/>
        <item x="437"/>
        <item x="168"/>
        <item x="413"/>
        <item x="626"/>
        <item x="15"/>
        <item x="593"/>
        <item x="641"/>
        <item x="509"/>
        <item x="431"/>
        <item x="226"/>
        <item x="628"/>
        <item x="56"/>
        <item x="644"/>
        <item x="642"/>
        <item x="276"/>
        <item x="598"/>
        <item x="169"/>
        <item x="648"/>
        <item x="350"/>
        <item x="196"/>
        <item x="542"/>
        <item x="581"/>
        <item x="632"/>
        <item x="484"/>
        <item x="35"/>
        <item x="667"/>
        <item x="488"/>
        <item x="500"/>
        <item x="539"/>
        <item x="385"/>
        <item x="494"/>
        <item x="681"/>
        <item x="351"/>
        <item x="43"/>
        <item x="353"/>
        <item x="178"/>
        <item x="94"/>
        <item x="61"/>
        <item x="666"/>
        <item x="210"/>
        <item x="1"/>
        <item x="99"/>
        <item x="224"/>
        <item x="700"/>
        <item x="489"/>
        <item x="486"/>
        <item x="144"/>
        <item x="191"/>
        <item x="396"/>
        <item x="531"/>
        <item x="333"/>
        <item x="527"/>
        <item x="610"/>
        <item x="424"/>
        <item x="234"/>
        <item x="95"/>
        <item x="574"/>
        <item x="46"/>
        <item x="548"/>
        <item x="180"/>
        <item x="621"/>
        <item x="84"/>
        <item x="116"/>
        <item x="683"/>
        <item x="460"/>
        <item x="133"/>
        <item x="675"/>
        <item x="301"/>
        <item x="235"/>
        <item x="442"/>
        <item x="444"/>
        <item x="384"/>
        <item x="516"/>
        <item x="47"/>
        <item x="71"/>
        <item x="535"/>
        <item x="357"/>
        <item x="86"/>
        <item x="64"/>
        <item x="131"/>
        <item x="241"/>
        <item x="563"/>
        <item x="358"/>
        <item x="618"/>
        <item x="268"/>
        <item x="192"/>
        <item x="248"/>
        <item x="698"/>
        <item x="58"/>
        <item x="685"/>
        <item x="596"/>
        <item x="269"/>
        <item x="551"/>
        <item x="239"/>
        <item x="497"/>
        <item x="499"/>
        <item x="552"/>
        <item x="146"/>
        <item x="526"/>
        <item x="246"/>
        <item x="136"/>
        <item x="568"/>
        <item x="635"/>
        <item x="643"/>
        <item x="436"/>
        <item x="662"/>
        <item x="647"/>
        <item x="330"/>
        <item x="617"/>
        <item x="612"/>
        <item x="195"/>
        <item x="670"/>
        <item x="571"/>
        <item x="206"/>
        <item x="258"/>
        <item x="599"/>
        <item x="137"/>
        <item x="225"/>
        <item x="401"/>
        <item x="537"/>
        <item x="694"/>
        <item x="556"/>
        <item x="190"/>
        <item x="159"/>
        <item x="188"/>
        <item x="255"/>
        <item x="501"/>
        <item x="676"/>
        <item x="607"/>
        <item x="688"/>
        <item x="189"/>
        <item x="298"/>
        <item x="181"/>
        <item x="696"/>
        <item x="515"/>
        <item x="70"/>
        <item x="2"/>
        <item x="569"/>
        <item x="364"/>
        <item x="447"/>
        <item x="403"/>
        <item x="638"/>
        <item x="624"/>
        <item x="410"/>
        <item x="147"/>
        <item x="633"/>
        <item x="5"/>
        <item x="604"/>
        <item x="349"/>
        <item x="572"/>
        <item x="520"/>
        <item x="323"/>
        <item x="89"/>
        <item x="355"/>
        <item x="272"/>
        <item x="130"/>
        <item x="229"/>
        <item x="546"/>
        <item x="101"/>
        <item x="379"/>
        <item x="400"/>
        <item x="554"/>
        <item x="334"/>
        <item x="148"/>
        <item x="53"/>
        <item x="48"/>
        <item x="33"/>
        <item x="541"/>
        <item x="6"/>
        <item x="622"/>
        <item x="185"/>
        <item x="577"/>
        <item x="66"/>
        <item x="126"/>
        <item x="296"/>
        <item x="295"/>
        <item x="105"/>
        <item x="377"/>
        <item x="92"/>
        <item x="122"/>
        <item x="262"/>
        <item x="504"/>
        <item x="319"/>
        <item x="336"/>
        <item x="39"/>
        <item x="433"/>
        <item x="42"/>
        <item x="550"/>
        <item x="427"/>
        <item x="278"/>
        <item x="277"/>
        <item x="467"/>
        <item x="162"/>
        <item x="609"/>
        <item x="645"/>
        <item x="245"/>
        <item x="313"/>
        <item x="378"/>
        <item x="513"/>
        <item x="651"/>
        <item x="601"/>
        <item x="242"/>
        <item x="16"/>
        <item x="468"/>
        <item x="655"/>
        <item x="161"/>
        <item x="495"/>
        <item x="305"/>
        <item x="668"/>
        <item x="525"/>
        <item x="530"/>
        <item x="502"/>
        <item x="523"/>
        <item x="619"/>
        <item x="307"/>
        <item x="409"/>
        <item x="534"/>
        <item x="448"/>
        <item x="328"/>
        <item x="338"/>
        <item x="432"/>
        <item x="540"/>
        <item x="398"/>
        <item x="656"/>
        <item x="496"/>
        <item x="342"/>
        <item x="452"/>
        <item x="50"/>
        <item x="660"/>
        <item x="423"/>
        <item x="511"/>
        <item x="227"/>
        <item x="408"/>
        <item x="65"/>
        <item x="299"/>
        <item x="34"/>
        <item x="510"/>
        <item x="592"/>
        <item x="115"/>
        <item x="100"/>
        <item x="96"/>
        <item x="238"/>
        <item x="67"/>
        <item x="263"/>
        <item x="521"/>
        <item x="59"/>
        <item x="335"/>
        <item x="198"/>
        <item x="327"/>
        <item x="658"/>
        <item x="106"/>
        <item x="613"/>
        <item x="337"/>
        <item x="332"/>
        <item x="218"/>
        <item x="369"/>
        <item x="74"/>
        <item x="211"/>
        <item x="197"/>
        <item x="560"/>
        <item x="404"/>
        <item x="450"/>
        <item x="21"/>
        <item x="595"/>
        <item x="564"/>
        <item x="316"/>
        <item x="240"/>
        <item x="366"/>
        <item x="291"/>
        <item x="457"/>
        <item x="109"/>
        <item x="474"/>
        <item x="0"/>
        <item x="434"/>
        <item x="264"/>
        <item x="243"/>
        <item x="691"/>
        <item x="456"/>
        <item x="382"/>
        <item x="354"/>
        <item x="164"/>
        <item x="123"/>
        <item x="150"/>
        <item x="392"/>
        <item x="625"/>
        <item x="90"/>
        <item x="97"/>
        <item x="579"/>
        <item x="108"/>
        <item x="664"/>
        <item x="508"/>
        <item x="29"/>
        <item x="171"/>
        <item x="503"/>
        <item x="30"/>
        <item x="538"/>
        <item x="585"/>
        <item x="565"/>
        <item x="652"/>
        <item x="390"/>
        <item x="203"/>
        <item x="249"/>
        <item x="575"/>
        <item x="399"/>
        <item x="697"/>
        <item x="439"/>
        <item x="45"/>
        <item x="367"/>
        <item x="684"/>
        <item x="306"/>
        <item x="493"/>
        <item x="438"/>
        <item x="459"/>
        <item x="23"/>
        <item x="220"/>
        <item x="54"/>
        <item x="477"/>
        <item x="669"/>
        <item x="310"/>
        <item x="344"/>
        <item x="389"/>
        <item x="356"/>
        <item x="412"/>
        <item x="170"/>
        <item x="682"/>
        <item x="128"/>
        <item x="217"/>
        <item x="163"/>
        <item x="380"/>
        <item x="630"/>
        <item x="10"/>
        <item x="289"/>
        <item x="402"/>
        <item x="158"/>
        <item x="589"/>
        <item x="473"/>
        <item x="672"/>
        <item x="492"/>
        <item x="124"/>
        <item x="3"/>
        <item x="119"/>
        <item x="466"/>
        <item x="454"/>
        <item x="261"/>
        <item x="608"/>
        <item x="285"/>
        <item x="254"/>
        <item x="77"/>
        <item x="381"/>
        <item x="73"/>
        <item x="640"/>
        <item x="345"/>
        <item x="576"/>
        <item x="570"/>
        <item x="69"/>
        <item x="221"/>
        <item x="463"/>
        <item x="490"/>
        <item x="127"/>
        <item x="145"/>
        <item x="274"/>
        <item x="215"/>
        <item x="167"/>
        <item x="416"/>
        <item x="28"/>
        <item x="208"/>
        <item x="383"/>
        <item x="201"/>
        <item x="318"/>
        <item x="372"/>
        <item x="11"/>
        <item x="363"/>
        <item x="212"/>
        <item x="603"/>
        <item x="25"/>
        <item x="12"/>
        <item x="315"/>
        <item x="375"/>
        <item x="512"/>
        <item x="671"/>
        <item x="237"/>
        <item x="636"/>
        <item x="36"/>
        <item x="491"/>
        <item x="321"/>
        <item x="475"/>
        <item x="87"/>
        <item x="692"/>
        <item x="514"/>
        <item x="631"/>
        <item x="216"/>
        <item x="322"/>
        <item x="693"/>
        <item x="678"/>
        <item x="679"/>
        <item x="184"/>
        <item x="591"/>
        <item x="110"/>
        <item x="588"/>
        <item x="75"/>
        <item x="422"/>
        <item x="395"/>
        <item x="232"/>
        <item x="620"/>
        <item x="471"/>
        <item x="31"/>
        <item x="209"/>
        <item x="616"/>
        <item x="562"/>
        <item x="605"/>
        <item x="451"/>
        <item x="252"/>
        <item x="343"/>
        <item x="129"/>
        <item x="32"/>
        <item x="117"/>
        <item x="674"/>
        <item x="469"/>
        <item x="14"/>
        <item x="446"/>
        <item x="519"/>
        <item x="614"/>
        <item x="417"/>
        <item x="85"/>
        <item x="193"/>
        <item x="40"/>
        <item x="266"/>
        <item x="98"/>
        <item x="686"/>
        <item x="273"/>
        <item x="561"/>
        <item x="518"/>
        <item x="153"/>
        <item x="260"/>
        <item x="615"/>
        <item x="104"/>
        <item x="202"/>
        <item x="82"/>
        <item x="425"/>
        <item x="455"/>
        <item x="590"/>
        <item x="79"/>
        <item x="391"/>
        <item x="411"/>
        <item x="346"/>
        <item x="141"/>
        <item x="49"/>
        <item x="213"/>
        <item x="528"/>
        <item x="60"/>
        <item x="594"/>
        <item x="522"/>
        <item x="172"/>
        <item x="270"/>
        <item x="483"/>
        <item x="545"/>
        <item x="547"/>
        <item x="156"/>
        <item x="506"/>
        <item x="222"/>
        <item x="420"/>
        <item x="271"/>
        <item x="302"/>
        <item x="365"/>
        <item x="458"/>
        <item x="663"/>
        <item x="476"/>
        <item x="68"/>
        <item x="19"/>
        <item x="290"/>
        <item x="308"/>
        <item x="204"/>
        <item x="112"/>
        <item x="288"/>
        <item x="20"/>
        <item x="606"/>
        <item t="default"/>
      </items>
    </pivotField>
    <pivotField showAll="0"/>
    <pivotField showAll="0"/>
    <pivotField numFmtId="1" showAll="0"/>
    <pivotField showAll="0"/>
    <pivotField showAll="0"/>
    <pivotField numFmtId="1" showAll="0"/>
    <pivotField dataField="1" numFmtId="1" showAll="0"/>
  </pivotFields>
  <rowFields count="1">
    <field x="1"/>
  </rowFields>
  <rowItems count="173">
    <i>
      <x/>
    </i>
    <i>
      <x v="4"/>
    </i>
    <i>
      <x v="10"/>
    </i>
    <i>
      <x v="14"/>
    </i>
    <i>
      <x v="22"/>
    </i>
    <i>
      <x v="23"/>
    </i>
    <i>
      <x v="29"/>
    </i>
    <i>
      <x v="31"/>
    </i>
    <i>
      <x v="34"/>
    </i>
    <i>
      <x v="36"/>
    </i>
    <i>
      <x v="38"/>
    </i>
    <i>
      <x v="39"/>
    </i>
    <i>
      <x v="41"/>
    </i>
    <i>
      <x v="43"/>
    </i>
    <i>
      <x v="44"/>
    </i>
    <i>
      <x v="45"/>
    </i>
    <i>
      <x v="46"/>
    </i>
    <i>
      <x v="51"/>
    </i>
    <i>
      <x v="52"/>
    </i>
    <i>
      <x v="56"/>
    </i>
    <i>
      <x v="65"/>
    </i>
    <i>
      <x v="69"/>
    </i>
    <i>
      <x v="76"/>
    </i>
    <i>
      <x v="80"/>
    </i>
    <i>
      <x v="91"/>
    </i>
    <i>
      <x v="94"/>
    </i>
    <i>
      <x v="95"/>
    </i>
    <i>
      <x v="106"/>
    </i>
    <i>
      <x v="107"/>
    </i>
    <i>
      <x v="108"/>
    </i>
    <i>
      <x v="109"/>
    </i>
    <i>
      <x v="124"/>
    </i>
    <i>
      <x v="130"/>
    </i>
    <i>
      <x v="132"/>
    </i>
    <i>
      <x v="135"/>
    </i>
    <i>
      <x v="143"/>
    </i>
    <i>
      <x v="144"/>
    </i>
    <i>
      <x v="156"/>
    </i>
    <i>
      <x v="161"/>
    </i>
    <i>
      <x v="167"/>
    </i>
    <i>
      <x v="174"/>
    </i>
    <i>
      <x v="180"/>
    </i>
    <i>
      <x v="182"/>
    </i>
    <i>
      <x v="189"/>
    </i>
    <i>
      <x v="194"/>
    </i>
    <i>
      <x v="205"/>
    </i>
    <i>
      <x v="209"/>
    </i>
    <i>
      <x v="212"/>
    </i>
    <i>
      <x v="218"/>
    </i>
    <i>
      <x v="224"/>
    </i>
    <i>
      <x v="226"/>
    </i>
    <i>
      <x v="229"/>
    </i>
    <i>
      <x v="234"/>
    </i>
    <i>
      <x v="235"/>
    </i>
    <i>
      <x v="237"/>
    </i>
    <i>
      <x v="238"/>
    </i>
    <i>
      <x v="241"/>
    </i>
    <i>
      <x v="242"/>
    </i>
    <i>
      <x v="250"/>
    </i>
    <i>
      <x v="251"/>
    </i>
    <i>
      <x v="258"/>
    </i>
    <i>
      <x v="262"/>
    </i>
    <i>
      <x v="263"/>
    </i>
    <i>
      <x v="264"/>
    </i>
    <i>
      <x v="266"/>
    </i>
    <i>
      <x v="271"/>
    </i>
    <i>
      <x v="277"/>
    </i>
    <i>
      <x v="280"/>
    </i>
    <i>
      <x v="283"/>
    </i>
    <i>
      <x v="288"/>
    </i>
    <i>
      <x v="293"/>
    </i>
    <i>
      <x v="294"/>
    </i>
    <i>
      <x v="297"/>
    </i>
    <i>
      <x v="298"/>
    </i>
    <i>
      <x v="301"/>
    </i>
    <i>
      <x v="302"/>
    </i>
    <i>
      <x v="307"/>
    </i>
    <i>
      <x v="309"/>
    </i>
    <i>
      <x v="313"/>
    </i>
    <i>
      <x v="316"/>
    </i>
    <i>
      <x v="321"/>
    </i>
    <i>
      <x v="331"/>
    </i>
    <i>
      <x v="333"/>
    </i>
    <i>
      <x v="336"/>
    </i>
    <i>
      <x v="341"/>
    </i>
    <i>
      <x v="349"/>
    </i>
    <i>
      <x v="352"/>
    </i>
    <i>
      <x v="353"/>
    </i>
    <i>
      <x v="356"/>
    </i>
    <i>
      <x v="358"/>
    </i>
    <i>
      <x v="366"/>
    </i>
    <i>
      <x v="367"/>
    </i>
    <i>
      <x v="373"/>
    </i>
    <i>
      <x v="378"/>
    </i>
    <i>
      <x v="379"/>
    </i>
    <i>
      <x v="383"/>
    </i>
    <i>
      <x v="390"/>
    </i>
    <i>
      <x v="392"/>
    </i>
    <i>
      <x v="394"/>
    </i>
    <i>
      <x v="396"/>
    </i>
    <i>
      <x v="400"/>
    </i>
    <i>
      <x v="403"/>
    </i>
    <i>
      <x v="405"/>
    </i>
    <i>
      <x v="407"/>
    </i>
    <i>
      <x v="409"/>
    </i>
    <i>
      <x v="411"/>
    </i>
    <i>
      <x v="415"/>
    </i>
    <i>
      <x v="423"/>
    </i>
    <i>
      <x v="434"/>
    </i>
    <i>
      <x v="440"/>
    </i>
    <i>
      <x v="442"/>
    </i>
    <i>
      <x v="455"/>
    </i>
    <i>
      <x v="464"/>
    </i>
    <i>
      <x v="466"/>
    </i>
    <i>
      <x v="467"/>
    </i>
    <i>
      <x v="471"/>
    </i>
    <i>
      <x v="474"/>
    </i>
    <i>
      <x v="478"/>
    </i>
    <i>
      <x v="485"/>
    </i>
    <i>
      <x v="490"/>
    </i>
    <i>
      <x v="492"/>
    </i>
    <i>
      <x v="498"/>
    </i>
    <i>
      <x v="504"/>
    </i>
    <i>
      <x v="506"/>
    </i>
    <i>
      <x v="510"/>
    </i>
    <i>
      <x v="517"/>
    </i>
    <i>
      <x v="521"/>
    </i>
    <i>
      <x v="523"/>
    </i>
    <i>
      <x v="524"/>
    </i>
    <i>
      <x v="526"/>
    </i>
    <i>
      <x v="528"/>
    </i>
    <i>
      <x v="534"/>
    </i>
    <i>
      <x v="540"/>
    </i>
    <i>
      <x v="544"/>
    </i>
    <i>
      <x v="550"/>
    </i>
    <i>
      <x v="556"/>
    </i>
    <i>
      <x v="567"/>
    </i>
    <i>
      <x v="568"/>
    </i>
    <i>
      <x v="570"/>
    </i>
    <i>
      <x v="579"/>
    </i>
    <i>
      <x v="580"/>
    </i>
    <i>
      <x v="582"/>
    </i>
    <i>
      <x v="583"/>
    </i>
    <i>
      <x v="584"/>
    </i>
    <i>
      <x v="586"/>
    </i>
    <i>
      <x v="590"/>
    </i>
    <i>
      <x v="603"/>
    </i>
    <i>
      <x v="605"/>
    </i>
    <i>
      <x v="606"/>
    </i>
    <i>
      <x v="607"/>
    </i>
    <i>
      <x v="626"/>
    </i>
    <i>
      <x v="627"/>
    </i>
    <i>
      <x v="633"/>
    </i>
    <i>
      <x v="634"/>
    </i>
    <i>
      <x v="636"/>
    </i>
    <i>
      <x v="637"/>
    </i>
    <i>
      <x v="638"/>
    </i>
    <i>
      <x v="641"/>
    </i>
    <i>
      <x v="642"/>
    </i>
    <i>
      <x v="644"/>
    </i>
    <i>
      <x v="645"/>
    </i>
    <i>
      <x v="646"/>
    </i>
    <i>
      <x v="650"/>
    </i>
    <i>
      <x v="656"/>
    </i>
    <i>
      <x v="660"/>
    </i>
    <i>
      <x v="662"/>
    </i>
    <i>
      <x v="668"/>
    </i>
    <i>
      <x v="673"/>
    </i>
    <i>
      <x v="682"/>
    </i>
    <i>
      <x v="692"/>
    </i>
    <i>
      <x v="693"/>
    </i>
    <i>
      <x v="698"/>
    </i>
    <i t="grand">
      <x/>
    </i>
  </rowItems>
  <colItems count="1">
    <i/>
  </colItems>
  <dataFields count="1">
    <dataField name="Max of Performance_Rating" fld="8" subtotal="max" baseField="1" baseItem="0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1589A-36A0-4829-A9ED-F4C29F500DE2}" name="PivotTable8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18:G24" firstHeaderRow="1" firstDataRow="1" firstDataCol="1"/>
  <pivotFields count="9">
    <pivotField numFmtId="1" showAll="0"/>
    <pivotField axis="axisRow" showAll="0" measureFilter="1">
      <items count="702">
        <item x="27"/>
        <item x="393"/>
        <item x="661"/>
        <item x="265"/>
        <item x="9"/>
        <item x="429"/>
        <item x="183"/>
        <item x="166"/>
        <item x="194"/>
        <item x="44"/>
        <item x="280"/>
        <item x="282"/>
        <item x="435"/>
        <item x="279"/>
        <item x="233"/>
        <item x="312"/>
        <item x="543"/>
        <item x="326"/>
        <item x="38"/>
        <item x="602"/>
        <item x="359"/>
        <item x="627"/>
        <item x="205"/>
        <item x="553"/>
        <item x="325"/>
        <item x="287"/>
        <item x="680"/>
        <item x="374"/>
        <item x="673"/>
        <item x="199"/>
        <item x="223"/>
        <item x="72"/>
        <item x="549"/>
        <item x="187"/>
        <item x="347"/>
        <item x="132"/>
        <item x="300"/>
        <item x="376"/>
        <item x="76"/>
        <item x="371"/>
        <item x="426"/>
        <item x="559"/>
        <item x="139"/>
        <item x="93"/>
        <item x="173"/>
        <item x="81"/>
        <item x="397"/>
        <item x="80"/>
        <item x="677"/>
        <item x="555"/>
        <item x="524"/>
        <item x="443"/>
        <item x="18"/>
        <item x="657"/>
        <item x="62"/>
        <item x="114"/>
        <item x="91"/>
        <item x="387"/>
        <item x="149"/>
        <item x="461"/>
        <item x="186"/>
        <item x="154"/>
        <item x="304"/>
        <item x="256"/>
        <item x="292"/>
        <item x="470"/>
        <item x="415"/>
        <item x="207"/>
        <item x="449"/>
        <item x="419"/>
        <item x="8"/>
        <item x="228"/>
        <item x="286"/>
        <item x="687"/>
        <item x="22"/>
        <item x="324"/>
        <item x="373"/>
        <item x="63"/>
        <item x="465"/>
        <item x="587"/>
        <item x="690"/>
        <item x="485"/>
        <item x="283"/>
        <item x="214"/>
        <item x="368"/>
        <item x="51"/>
        <item x="331"/>
        <item x="102"/>
        <item x="179"/>
        <item x="267"/>
        <item x="584"/>
        <item x="339"/>
        <item x="650"/>
        <item x="362"/>
        <item x="244"/>
        <item x="165"/>
        <item x="138"/>
        <item x="637"/>
        <item x="231"/>
        <item x="479"/>
        <item x="13"/>
        <item x="517"/>
        <item x="107"/>
        <item x="487"/>
        <item x="352"/>
        <item x="55"/>
        <item x="532"/>
        <item x="7"/>
        <item x="314"/>
        <item x="247"/>
        <item x="507"/>
        <item x="623"/>
        <item x="103"/>
        <item x="505"/>
        <item x="529"/>
        <item x="259"/>
        <item x="533"/>
        <item x="695"/>
        <item x="441"/>
        <item x="406"/>
        <item x="482"/>
        <item x="309"/>
        <item x="611"/>
        <item x="257"/>
        <item x="405"/>
        <item x="597"/>
        <item x="600"/>
        <item x="140"/>
        <item x="160"/>
        <item x="320"/>
        <item x="317"/>
        <item x="348"/>
        <item x="17"/>
        <item x="118"/>
        <item x="699"/>
        <item x="284"/>
        <item x="566"/>
        <item x="142"/>
        <item x="453"/>
        <item x="26"/>
        <item x="297"/>
        <item x="57"/>
        <item x="462"/>
        <item x="135"/>
        <item x="340"/>
        <item x="414"/>
        <item x="341"/>
        <item x="134"/>
        <item x="634"/>
        <item x="394"/>
        <item x="498"/>
        <item x="567"/>
        <item x="281"/>
        <item x="78"/>
        <item x="665"/>
        <item x="536"/>
        <item x="360"/>
        <item x="646"/>
        <item x="83"/>
        <item x="125"/>
        <item x="293"/>
        <item x="639"/>
        <item x="329"/>
        <item x="113"/>
        <item x="230"/>
        <item x="418"/>
        <item x="219"/>
        <item x="157"/>
        <item x="557"/>
        <item x="175"/>
        <item x="629"/>
        <item x="464"/>
        <item x="4"/>
        <item x="481"/>
        <item x="654"/>
        <item x="388"/>
        <item x="182"/>
        <item x="143"/>
        <item x="407"/>
        <item x="250"/>
        <item x="659"/>
        <item x="480"/>
        <item x="151"/>
        <item x="583"/>
        <item x="41"/>
        <item x="52"/>
        <item x="430"/>
        <item x="236"/>
        <item x="370"/>
        <item x="689"/>
        <item x="294"/>
        <item x="155"/>
        <item x="649"/>
        <item x="478"/>
        <item x="121"/>
        <item x="251"/>
        <item x="24"/>
        <item x="428"/>
        <item x="111"/>
        <item x="361"/>
        <item x="311"/>
        <item x="177"/>
        <item x="445"/>
        <item x="544"/>
        <item x="586"/>
        <item x="421"/>
        <item x="303"/>
        <item x="275"/>
        <item x="88"/>
        <item x="152"/>
        <item x="386"/>
        <item x="573"/>
        <item x="558"/>
        <item x="580"/>
        <item x="176"/>
        <item x="200"/>
        <item x="440"/>
        <item x="578"/>
        <item x="37"/>
        <item x="653"/>
        <item x="582"/>
        <item x="120"/>
        <item x="174"/>
        <item x="253"/>
        <item x="472"/>
        <item x="437"/>
        <item x="168"/>
        <item x="413"/>
        <item x="626"/>
        <item x="15"/>
        <item x="593"/>
        <item x="641"/>
        <item x="509"/>
        <item x="431"/>
        <item x="226"/>
        <item x="628"/>
        <item x="56"/>
        <item x="644"/>
        <item x="642"/>
        <item x="276"/>
        <item x="598"/>
        <item x="169"/>
        <item x="648"/>
        <item x="350"/>
        <item x="196"/>
        <item x="542"/>
        <item x="581"/>
        <item x="632"/>
        <item x="484"/>
        <item x="35"/>
        <item x="667"/>
        <item x="488"/>
        <item x="500"/>
        <item x="539"/>
        <item x="385"/>
        <item x="494"/>
        <item x="681"/>
        <item x="351"/>
        <item x="43"/>
        <item x="353"/>
        <item x="178"/>
        <item x="94"/>
        <item x="61"/>
        <item x="666"/>
        <item x="210"/>
        <item x="1"/>
        <item x="99"/>
        <item x="224"/>
        <item x="700"/>
        <item x="489"/>
        <item x="486"/>
        <item x="144"/>
        <item x="191"/>
        <item x="396"/>
        <item x="531"/>
        <item x="333"/>
        <item x="527"/>
        <item x="610"/>
        <item x="424"/>
        <item x="234"/>
        <item x="95"/>
        <item x="574"/>
        <item x="46"/>
        <item x="548"/>
        <item x="180"/>
        <item x="621"/>
        <item x="84"/>
        <item x="116"/>
        <item x="683"/>
        <item x="460"/>
        <item x="133"/>
        <item x="675"/>
        <item x="301"/>
        <item x="235"/>
        <item x="442"/>
        <item x="444"/>
        <item x="384"/>
        <item x="516"/>
        <item x="47"/>
        <item x="71"/>
        <item x="535"/>
        <item x="357"/>
        <item x="86"/>
        <item x="64"/>
        <item x="131"/>
        <item x="241"/>
        <item x="563"/>
        <item x="358"/>
        <item x="618"/>
        <item x="268"/>
        <item x="192"/>
        <item x="248"/>
        <item x="698"/>
        <item x="58"/>
        <item x="685"/>
        <item x="596"/>
        <item x="269"/>
        <item x="551"/>
        <item x="239"/>
        <item x="497"/>
        <item x="499"/>
        <item x="552"/>
        <item x="146"/>
        <item x="526"/>
        <item x="246"/>
        <item x="136"/>
        <item x="568"/>
        <item x="635"/>
        <item x="643"/>
        <item x="436"/>
        <item x="662"/>
        <item x="647"/>
        <item x="330"/>
        <item x="617"/>
        <item x="612"/>
        <item x="195"/>
        <item x="670"/>
        <item x="571"/>
        <item x="206"/>
        <item x="258"/>
        <item x="599"/>
        <item x="137"/>
        <item x="225"/>
        <item x="401"/>
        <item x="537"/>
        <item x="694"/>
        <item x="556"/>
        <item x="190"/>
        <item x="159"/>
        <item x="188"/>
        <item x="255"/>
        <item x="501"/>
        <item x="676"/>
        <item x="607"/>
        <item x="688"/>
        <item x="189"/>
        <item x="298"/>
        <item x="181"/>
        <item x="696"/>
        <item x="515"/>
        <item x="70"/>
        <item x="2"/>
        <item x="569"/>
        <item x="364"/>
        <item x="447"/>
        <item x="403"/>
        <item x="638"/>
        <item x="624"/>
        <item x="410"/>
        <item x="147"/>
        <item x="633"/>
        <item x="5"/>
        <item x="604"/>
        <item x="349"/>
        <item x="572"/>
        <item x="520"/>
        <item x="323"/>
        <item x="89"/>
        <item x="355"/>
        <item x="272"/>
        <item x="130"/>
        <item x="229"/>
        <item x="546"/>
        <item x="101"/>
        <item x="379"/>
        <item x="400"/>
        <item x="554"/>
        <item x="334"/>
        <item x="148"/>
        <item x="53"/>
        <item x="48"/>
        <item x="33"/>
        <item x="541"/>
        <item x="6"/>
        <item x="622"/>
        <item x="185"/>
        <item x="577"/>
        <item x="66"/>
        <item x="126"/>
        <item x="296"/>
        <item x="295"/>
        <item x="105"/>
        <item x="377"/>
        <item x="92"/>
        <item x="122"/>
        <item x="262"/>
        <item x="504"/>
        <item x="319"/>
        <item x="336"/>
        <item x="39"/>
        <item x="433"/>
        <item x="42"/>
        <item x="550"/>
        <item x="427"/>
        <item x="278"/>
        <item x="277"/>
        <item x="467"/>
        <item x="162"/>
        <item x="609"/>
        <item x="645"/>
        <item x="245"/>
        <item x="313"/>
        <item x="378"/>
        <item x="513"/>
        <item x="651"/>
        <item x="601"/>
        <item x="242"/>
        <item x="16"/>
        <item x="468"/>
        <item x="655"/>
        <item x="161"/>
        <item x="495"/>
        <item x="305"/>
        <item x="668"/>
        <item x="525"/>
        <item x="530"/>
        <item x="502"/>
        <item x="523"/>
        <item x="619"/>
        <item x="307"/>
        <item x="409"/>
        <item x="534"/>
        <item x="448"/>
        <item x="328"/>
        <item x="338"/>
        <item x="432"/>
        <item x="540"/>
        <item x="398"/>
        <item x="656"/>
        <item x="496"/>
        <item x="342"/>
        <item x="452"/>
        <item x="50"/>
        <item x="660"/>
        <item x="423"/>
        <item x="511"/>
        <item x="227"/>
        <item x="408"/>
        <item x="65"/>
        <item x="299"/>
        <item x="34"/>
        <item x="510"/>
        <item x="592"/>
        <item x="115"/>
        <item x="100"/>
        <item x="96"/>
        <item x="238"/>
        <item x="67"/>
        <item x="263"/>
        <item x="521"/>
        <item x="59"/>
        <item x="335"/>
        <item x="198"/>
        <item x="327"/>
        <item x="658"/>
        <item x="106"/>
        <item x="613"/>
        <item x="337"/>
        <item x="332"/>
        <item x="218"/>
        <item x="369"/>
        <item x="74"/>
        <item x="211"/>
        <item x="197"/>
        <item x="560"/>
        <item x="404"/>
        <item x="450"/>
        <item x="21"/>
        <item x="595"/>
        <item x="564"/>
        <item x="316"/>
        <item x="240"/>
        <item x="366"/>
        <item x="291"/>
        <item x="457"/>
        <item x="109"/>
        <item x="474"/>
        <item x="0"/>
        <item x="434"/>
        <item x="264"/>
        <item x="243"/>
        <item x="691"/>
        <item x="456"/>
        <item x="382"/>
        <item x="354"/>
        <item x="164"/>
        <item x="123"/>
        <item x="150"/>
        <item x="392"/>
        <item x="625"/>
        <item x="90"/>
        <item x="97"/>
        <item x="579"/>
        <item x="108"/>
        <item x="664"/>
        <item x="508"/>
        <item x="29"/>
        <item x="171"/>
        <item x="503"/>
        <item x="30"/>
        <item x="538"/>
        <item x="585"/>
        <item x="565"/>
        <item x="652"/>
        <item x="390"/>
        <item x="203"/>
        <item x="249"/>
        <item x="575"/>
        <item x="399"/>
        <item x="697"/>
        <item x="439"/>
        <item x="45"/>
        <item x="367"/>
        <item x="684"/>
        <item x="306"/>
        <item x="493"/>
        <item x="438"/>
        <item x="459"/>
        <item x="23"/>
        <item x="220"/>
        <item x="54"/>
        <item x="477"/>
        <item x="669"/>
        <item x="310"/>
        <item x="344"/>
        <item x="389"/>
        <item x="356"/>
        <item x="412"/>
        <item x="170"/>
        <item x="682"/>
        <item x="128"/>
        <item x="217"/>
        <item x="163"/>
        <item x="380"/>
        <item x="630"/>
        <item x="10"/>
        <item x="289"/>
        <item x="402"/>
        <item x="158"/>
        <item x="589"/>
        <item x="473"/>
        <item x="672"/>
        <item x="492"/>
        <item x="124"/>
        <item x="3"/>
        <item x="119"/>
        <item x="466"/>
        <item x="454"/>
        <item x="261"/>
        <item x="608"/>
        <item x="285"/>
        <item x="254"/>
        <item x="77"/>
        <item x="381"/>
        <item x="73"/>
        <item x="640"/>
        <item x="345"/>
        <item x="576"/>
        <item x="570"/>
        <item x="69"/>
        <item x="221"/>
        <item x="463"/>
        <item x="490"/>
        <item x="127"/>
        <item x="145"/>
        <item x="274"/>
        <item x="215"/>
        <item x="167"/>
        <item x="416"/>
        <item x="28"/>
        <item x="208"/>
        <item x="383"/>
        <item x="201"/>
        <item x="318"/>
        <item x="372"/>
        <item x="11"/>
        <item x="363"/>
        <item x="212"/>
        <item x="603"/>
        <item x="25"/>
        <item x="12"/>
        <item x="315"/>
        <item x="375"/>
        <item x="512"/>
        <item x="671"/>
        <item x="237"/>
        <item x="636"/>
        <item x="36"/>
        <item x="491"/>
        <item x="321"/>
        <item x="475"/>
        <item x="87"/>
        <item x="692"/>
        <item x="514"/>
        <item x="631"/>
        <item x="216"/>
        <item x="322"/>
        <item x="693"/>
        <item x="678"/>
        <item x="679"/>
        <item x="184"/>
        <item x="591"/>
        <item x="110"/>
        <item x="588"/>
        <item x="75"/>
        <item x="422"/>
        <item x="395"/>
        <item x="232"/>
        <item x="620"/>
        <item x="471"/>
        <item x="31"/>
        <item x="209"/>
        <item x="616"/>
        <item x="562"/>
        <item x="605"/>
        <item x="451"/>
        <item x="252"/>
        <item x="343"/>
        <item x="129"/>
        <item x="32"/>
        <item x="117"/>
        <item x="674"/>
        <item x="469"/>
        <item x="14"/>
        <item x="446"/>
        <item x="519"/>
        <item x="614"/>
        <item x="417"/>
        <item x="85"/>
        <item x="193"/>
        <item x="40"/>
        <item x="266"/>
        <item x="98"/>
        <item x="686"/>
        <item x="273"/>
        <item x="561"/>
        <item x="518"/>
        <item x="153"/>
        <item x="260"/>
        <item x="615"/>
        <item x="104"/>
        <item x="202"/>
        <item x="82"/>
        <item x="425"/>
        <item x="455"/>
        <item x="590"/>
        <item x="79"/>
        <item x="391"/>
        <item x="411"/>
        <item x="346"/>
        <item x="141"/>
        <item x="49"/>
        <item x="213"/>
        <item x="528"/>
        <item x="60"/>
        <item x="594"/>
        <item x="522"/>
        <item x="172"/>
        <item x="270"/>
        <item x="483"/>
        <item x="545"/>
        <item x="547"/>
        <item x="156"/>
        <item x="506"/>
        <item x="222"/>
        <item x="420"/>
        <item x="271"/>
        <item x="302"/>
        <item x="365"/>
        <item x="458"/>
        <item x="663"/>
        <item x="476"/>
        <item x="68"/>
        <item x="19"/>
        <item x="290"/>
        <item x="308"/>
        <item x="204"/>
        <item x="112"/>
        <item x="288"/>
        <item x="20"/>
        <item x="606"/>
        <item t="default"/>
      </items>
    </pivotField>
    <pivotField showAll="0"/>
    <pivotField showAll="0"/>
    <pivotField dataField="1" numFmtId="1" showAll="0"/>
    <pivotField showAll="0"/>
    <pivotField showAll="0"/>
    <pivotField numFmtId="1" showAll="0"/>
    <pivotField numFmtId="1" showAll="0"/>
  </pivotFields>
  <rowFields count="1">
    <field x="1"/>
  </rowFields>
  <rowItems count="6">
    <i>
      <x v="66"/>
    </i>
    <i>
      <x v="90"/>
    </i>
    <i>
      <x v="232"/>
    </i>
    <i>
      <x v="537"/>
    </i>
    <i>
      <x v="546"/>
    </i>
    <i t="grand">
      <x/>
    </i>
  </rowItems>
  <colItems count="1">
    <i/>
  </colItems>
  <dataFields count="1">
    <dataField name="Max of Salary" fld="4" subtotal="max" baseField="1" baseItem="14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3EC7A-4A0C-458D-AE87-CBEAA1C71C54}" name="PivotTable7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17:C28" firstHeaderRow="1" firstDataRow="1" firstDataCol="1"/>
  <pivotFields count="9">
    <pivotField numFmtId="1" showAll="0"/>
    <pivotField showAll="0"/>
    <pivotField axis="axisRow" showAll="0">
      <items count="11">
        <item x="2"/>
        <item x="5"/>
        <item x="6"/>
        <item x="8"/>
        <item x="9"/>
        <item x="0"/>
        <item x="3"/>
        <item x="4"/>
        <item x="1"/>
        <item x="7"/>
        <item t="default"/>
      </items>
    </pivotField>
    <pivotField showAll="0"/>
    <pivotField dataField="1" numFmtId="1" showAll="0"/>
    <pivotField showAll="0"/>
    <pivotField showAll="0"/>
    <pivotField numFmtId="1" showAll="0"/>
    <pivotField numFmtI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alary" fld="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A7F43-77C1-48F7-B03A-7458C09DCC2F}" name="PivotTable6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5:K16" firstHeaderRow="1" firstDataRow="1" firstDataCol="1"/>
  <pivotFields count="9">
    <pivotField numFmtId="1" showAll="0"/>
    <pivotField showAll="0"/>
    <pivotField showAll="0"/>
    <pivotField axis="axisRow" showAll="0">
      <items count="11">
        <item x="8"/>
        <item x="6"/>
        <item x="9"/>
        <item x="5"/>
        <item x="3"/>
        <item x="2"/>
        <item x="0"/>
        <item x="7"/>
        <item x="1"/>
        <item x="4"/>
        <item t="default"/>
      </items>
    </pivotField>
    <pivotField numFmtId="1" showAll="0"/>
    <pivotField showAll="0"/>
    <pivotField showAll="0"/>
    <pivotField numFmtId="1" showAll="0"/>
    <pivotField dataField="1" numFmtI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Performance_Rating" fld="8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A7888-E047-4CAA-9CAC-57241373D325}" name="PivotTable5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9:C13" firstHeaderRow="1" firstDataRow="1" firstDataCol="1"/>
  <pivotFields count="9">
    <pivotField dataField="1" numFmtId="1" showAll="0"/>
    <pivotField showAll="0">
      <items count="702">
        <item x="27"/>
        <item x="393"/>
        <item x="661"/>
        <item x="265"/>
        <item x="9"/>
        <item x="429"/>
        <item x="183"/>
        <item x="166"/>
        <item x="194"/>
        <item x="44"/>
        <item x="280"/>
        <item x="282"/>
        <item x="435"/>
        <item x="279"/>
        <item x="233"/>
        <item x="312"/>
        <item x="543"/>
        <item x="326"/>
        <item x="38"/>
        <item x="602"/>
        <item x="359"/>
        <item x="627"/>
        <item x="205"/>
        <item x="553"/>
        <item x="325"/>
        <item x="287"/>
        <item x="680"/>
        <item x="374"/>
        <item x="673"/>
        <item x="199"/>
        <item x="223"/>
        <item x="72"/>
        <item x="549"/>
        <item x="187"/>
        <item x="347"/>
        <item x="132"/>
        <item x="300"/>
        <item x="376"/>
        <item x="76"/>
        <item x="371"/>
        <item x="426"/>
        <item x="559"/>
        <item x="139"/>
        <item x="93"/>
        <item x="173"/>
        <item x="81"/>
        <item x="397"/>
        <item x="80"/>
        <item x="677"/>
        <item x="555"/>
        <item x="524"/>
        <item x="443"/>
        <item x="18"/>
        <item x="657"/>
        <item x="62"/>
        <item x="114"/>
        <item x="91"/>
        <item x="387"/>
        <item x="149"/>
        <item x="461"/>
        <item x="186"/>
        <item x="154"/>
        <item x="304"/>
        <item x="256"/>
        <item x="292"/>
        <item x="470"/>
        <item x="415"/>
        <item x="207"/>
        <item x="449"/>
        <item x="419"/>
        <item x="8"/>
        <item x="228"/>
        <item x="286"/>
        <item x="687"/>
        <item x="22"/>
        <item x="324"/>
        <item x="373"/>
        <item x="63"/>
        <item x="465"/>
        <item x="587"/>
        <item x="690"/>
        <item x="485"/>
        <item x="283"/>
        <item x="214"/>
        <item x="368"/>
        <item x="51"/>
        <item x="331"/>
        <item x="102"/>
        <item x="179"/>
        <item x="267"/>
        <item x="584"/>
        <item x="339"/>
        <item x="650"/>
        <item x="362"/>
        <item x="244"/>
        <item x="165"/>
        <item x="138"/>
        <item x="637"/>
        <item x="231"/>
        <item x="479"/>
        <item x="13"/>
        <item x="517"/>
        <item x="107"/>
        <item x="487"/>
        <item x="352"/>
        <item x="55"/>
        <item x="532"/>
        <item x="7"/>
        <item x="314"/>
        <item x="247"/>
        <item x="507"/>
        <item x="623"/>
        <item x="103"/>
        <item x="505"/>
        <item x="529"/>
        <item x="259"/>
        <item x="533"/>
        <item x="695"/>
        <item x="441"/>
        <item x="406"/>
        <item x="482"/>
        <item x="309"/>
        <item x="611"/>
        <item x="257"/>
        <item x="405"/>
        <item x="597"/>
        <item x="600"/>
        <item x="140"/>
        <item x="160"/>
        <item x="320"/>
        <item x="317"/>
        <item x="348"/>
        <item x="17"/>
        <item x="118"/>
        <item x="699"/>
        <item x="284"/>
        <item x="566"/>
        <item x="142"/>
        <item x="453"/>
        <item x="26"/>
        <item x="297"/>
        <item x="57"/>
        <item x="462"/>
        <item x="135"/>
        <item x="340"/>
        <item x="414"/>
        <item x="341"/>
        <item x="134"/>
        <item x="634"/>
        <item x="394"/>
        <item x="498"/>
        <item x="567"/>
        <item x="281"/>
        <item x="78"/>
        <item x="665"/>
        <item x="536"/>
        <item x="360"/>
        <item x="646"/>
        <item x="83"/>
        <item x="125"/>
        <item x="293"/>
        <item x="639"/>
        <item x="329"/>
        <item x="113"/>
        <item x="230"/>
        <item x="418"/>
        <item x="219"/>
        <item x="157"/>
        <item x="557"/>
        <item x="175"/>
        <item x="629"/>
        <item x="464"/>
        <item x="4"/>
        <item x="481"/>
        <item x="654"/>
        <item x="388"/>
        <item x="182"/>
        <item x="143"/>
        <item x="407"/>
        <item x="250"/>
        <item x="659"/>
        <item x="480"/>
        <item x="151"/>
        <item x="583"/>
        <item x="41"/>
        <item x="52"/>
        <item x="430"/>
        <item x="236"/>
        <item x="370"/>
        <item x="689"/>
        <item x="294"/>
        <item x="155"/>
        <item x="649"/>
        <item x="478"/>
        <item x="121"/>
        <item x="251"/>
        <item x="24"/>
        <item x="428"/>
        <item x="111"/>
        <item x="361"/>
        <item x="311"/>
        <item x="177"/>
        <item x="445"/>
        <item x="544"/>
        <item x="586"/>
        <item x="421"/>
        <item x="303"/>
        <item x="275"/>
        <item x="88"/>
        <item x="152"/>
        <item x="386"/>
        <item x="573"/>
        <item x="558"/>
        <item x="580"/>
        <item x="176"/>
        <item x="200"/>
        <item x="440"/>
        <item x="578"/>
        <item x="37"/>
        <item x="653"/>
        <item x="582"/>
        <item x="120"/>
        <item x="174"/>
        <item x="253"/>
        <item x="472"/>
        <item x="437"/>
        <item x="168"/>
        <item x="413"/>
        <item x="626"/>
        <item x="15"/>
        <item x="593"/>
        <item x="641"/>
        <item x="509"/>
        <item x="431"/>
        <item x="226"/>
        <item x="628"/>
        <item x="56"/>
        <item x="644"/>
        <item x="642"/>
        <item x="276"/>
        <item x="598"/>
        <item x="169"/>
        <item x="648"/>
        <item x="350"/>
        <item x="196"/>
        <item x="542"/>
        <item x="581"/>
        <item x="632"/>
        <item x="484"/>
        <item x="35"/>
        <item x="667"/>
        <item x="488"/>
        <item x="500"/>
        <item x="539"/>
        <item x="385"/>
        <item x="494"/>
        <item x="681"/>
        <item x="351"/>
        <item x="43"/>
        <item x="353"/>
        <item x="178"/>
        <item x="94"/>
        <item x="61"/>
        <item x="666"/>
        <item x="210"/>
        <item x="1"/>
        <item x="99"/>
        <item x="224"/>
        <item x="700"/>
        <item x="489"/>
        <item x="486"/>
        <item x="144"/>
        <item x="191"/>
        <item x="396"/>
        <item x="531"/>
        <item x="333"/>
        <item x="527"/>
        <item x="610"/>
        <item x="424"/>
        <item x="234"/>
        <item x="95"/>
        <item x="574"/>
        <item x="46"/>
        <item x="548"/>
        <item x="180"/>
        <item x="621"/>
        <item x="84"/>
        <item x="116"/>
        <item x="683"/>
        <item x="460"/>
        <item x="133"/>
        <item x="675"/>
        <item x="301"/>
        <item x="235"/>
        <item x="442"/>
        <item x="444"/>
        <item x="384"/>
        <item x="516"/>
        <item x="47"/>
        <item x="71"/>
        <item x="535"/>
        <item x="357"/>
        <item x="86"/>
        <item x="64"/>
        <item x="131"/>
        <item x="241"/>
        <item x="563"/>
        <item x="358"/>
        <item x="618"/>
        <item x="268"/>
        <item x="192"/>
        <item x="248"/>
        <item x="698"/>
        <item x="58"/>
        <item x="685"/>
        <item x="596"/>
        <item x="269"/>
        <item x="551"/>
        <item x="239"/>
        <item x="497"/>
        <item x="499"/>
        <item x="552"/>
        <item x="146"/>
        <item x="526"/>
        <item x="246"/>
        <item x="136"/>
        <item x="568"/>
        <item x="635"/>
        <item x="643"/>
        <item x="436"/>
        <item x="662"/>
        <item x="647"/>
        <item x="330"/>
        <item x="617"/>
        <item x="612"/>
        <item x="195"/>
        <item x="670"/>
        <item x="571"/>
        <item x="206"/>
        <item x="258"/>
        <item x="599"/>
        <item x="137"/>
        <item x="225"/>
        <item x="401"/>
        <item x="537"/>
        <item x="694"/>
        <item x="556"/>
        <item x="190"/>
        <item x="159"/>
        <item x="188"/>
        <item x="255"/>
        <item x="501"/>
        <item x="676"/>
        <item x="607"/>
        <item x="688"/>
        <item x="189"/>
        <item x="298"/>
        <item x="181"/>
        <item x="696"/>
        <item x="515"/>
        <item x="70"/>
        <item x="2"/>
        <item x="569"/>
        <item x="364"/>
        <item x="447"/>
        <item x="403"/>
        <item x="638"/>
        <item x="624"/>
        <item x="410"/>
        <item x="147"/>
        <item x="633"/>
        <item x="5"/>
        <item x="604"/>
        <item x="349"/>
        <item x="572"/>
        <item x="520"/>
        <item x="323"/>
        <item x="89"/>
        <item x="355"/>
        <item x="272"/>
        <item x="130"/>
        <item x="229"/>
        <item x="546"/>
        <item x="101"/>
        <item x="379"/>
        <item x="400"/>
        <item x="554"/>
        <item x="334"/>
        <item x="148"/>
        <item x="53"/>
        <item x="48"/>
        <item x="33"/>
        <item x="541"/>
        <item x="6"/>
        <item x="622"/>
        <item x="185"/>
        <item x="577"/>
        <item x="66"/>
        <item x="126"/>
        <item x="296"/>
        <item x="295"/>
        <item x="105"/>
        <item x="377"/>
        <item x="92"/>
        <item x="122"/>
        <item x="262"/>
        <item x="504"/>
        <item x="319"/>
        <item x="336"/>
        <item x="39"/>
        <item x="433"/>
        <item x="42"/>
        <item x="550"/>
        <item x="427"/>
        <item x="278"/>
        <item x="277"/>
        <item x="467"/>
        <item x="162"/>
        <item x="609"/>
        <item x="645"/>
        <item x="245"/>
        <item x="313"/>
        <item x="378"/>
        <item x="513"/>
        <item x="651"/>
        <item x="601"/>
        <item x="242"/>
        <item x="16"/>
        <item x="468"/>
        <item x="655"/>
        <item x="161"/>
        <item x="495"/>
        <item x="305"/>
        <item x="668"/>
        <item x="525"/>
        <item x="530"/>
        <item x="502"/>
        <item x="523"/>
        <item x="619"/>
        <item x="307"/>
        <item x="409"/>
        <item x="534"/>
        <item x="448"/>
        <item x="328"/>
        <item x="338"/>
        <item x="432"/>
        <item x="540"/>
        <item x="398"/>
        <item x="656"/>
        <item x="496"/>
        <item x="342"/>
        <item x="452"/>
        <item x="50"/>
        <item x="660"/>
        <item x="423"/>
        <item x="511"/>
        <item x="227"/>
        <item x="408"/>
        <item x="65"/>
        <item x="299"/>
        <item x="34"/>
        <item x="510"/>
        <item x="592"/>
        <item x="115"/>
        <item x="100"/>
        <item x="96"/>
        <item x="238"/>
        <item x="67"/>
        <item x="263"/>
        <item x="521"/>
        <item x="59"/>
        <item x="335"/>
        <item x="198"/>
        <item x="327"/>
        <item x="658"/>
        <item x="106"/>
        <item x="613"/>
        <item x="337"/>
        <item x="332"/>
        <item x="218"/>
        <item x="369"/>
        <item x="74"/>
        <item x="211"/>
        <item x="197"/>
        <item x="560"/>
        <item x="404"/>
        <item x="450"/>
        <item x="21"/>
        <item x="595"/>
        <item x="564"/>
        <item x="316"/>
        <item x="240"/>
        <item x="366"/>
        <item x="291"/>
        <item x="457"/>
        <item x="109"/>
        <item x="474"/>
        <item x="0"/>
        <item x="434"/>
        <item x="264"/>
        <item x="243"/>
        <item x="691"/>
        <item x="456"/>
        <item x="382"/>
        <item x="354"/>
        <item x="164"/>
        <item x="123"/>
        <item x="150"/>
        <item x="392"/>
        <item x="625"/>
        <item x="90"/>
        <item x="97"/>
        <item x="579"/>
        <item x="108"/>
        <item x="664"/>
        <item x="508"/>
        <item x="29"/>
        <item x="171"/>
        <item x="503"/>
        <item x="30"/>
        <item x="538"/>
        <item x="585"/>
        <item x="565"/>
        <item x="652"/>
        <item x="390"/>
        <item x="203"/>
        <item x="249"/>
        <item x="575"/>
        <item x="399"/>
        <item x="697"/>
        <item x="439"/>
        <item x="45"/>
        <item x="367"/>
        <item x="684"/>
        <item x="306"/>
        <item x="493"/>
        <item x="438"/>
        <item x="459"/>
        <item x="23"/>
        <item x="220"/>
        <item x="54"/>
        <item x="477"/>
        <item x="669"/>
        <item x="310"/>
        <item x="344"/>
        <item x="389"/>
        <item x="356"/>
        <item x="412"/>
        <item x="170"/>
        <item x="682"/>
        <item x="128"/>
        <item x="217"/>
        <item x="163"/>
        <item x="380"/>
        <item x="630"/>
        <item x="10"/>
        <item x="289"/>
        <item x="402"/>
        <item x="158"/>
        <item x="589"/>
        <item x="473"/>
        <item x="672"/>
        <item x="492"/>
        <item x="124"/>
        <item x="3"/>
        <item x="119"/>
        <item x="466"/>
        <item x="454"/>
        <item x="261"/>
        <item x="608"/>
        <item x="285"/>
        <item x="254"/>
        <item x="77"/>
        <item x="381"/>
        <item x="73"/>
        <item x="640"/>
        <item x="345"/>
        <item x="576"/>
        <item x="570"/>
        <item x="69"/>
        <item x="221"/>
        <item x="463"/>
        <item x="490"/>
        <item x="127"/>
        <item x="145"/>
        <item x="274"/>
        <item x="215"/>
        <item x="167"/>
        <item x="416"/>
        <item x="28"/>
        <item x="208"/>
        <item x="383"/>
        <item x="201"/>
        <item x="318"/>
        <item x="372"/>
        <item x="11"/>
        <item x="363"/>
        <item x="212"/>
        <item x="603"/>
        <item x="25"/>
        <item x="12"/>
        <item x="315"/>
        <item x="375"/>
        <item x="512"/>
        <item x="671"/>
        <item x="237"/>
        <item x="636"/>
        <item x="36"/>
        <item x="491"/>
        <item x="321"/>
        <item x="475"/>
        <item x="87"/>
        <item x="692"/>
        <item x="514"/>
        <item x="631"/>
        <item x="216"/>
        <item x="322"/>
        <item x="693"/>
        <item x="678"/>
        <item x="679"/>
        <item x="184"/>
        <item x="591"/>
        <item x="110"/>
        <item x="588"/>
        <item x="75"/>
        <item x="422"/>
        <item x="395"/>
        <item x="232"/>
        <item x="620"/>
        <item x="471"/>
        <item x="31"/>
        <item x="209"/>
        <item x="616"/>
        <item x="562"/>
        <item x="605"/>
        <item x="451"/>
        <item x="252"/>
        <item x="343"/>
        <item x="129"/>
        <item x="32"/>
        <item x="117"/>
        <item x="674"/>
        <item x="469"/>
        <item x="14"/>
        <item x="446"/>
        <item x="519"/>
        <item x="614"/>
        <item x="417"/>
        <item x="85"/>
        <item x="193"/>
        <item x="40"/>
        <item x="266"/>
        <item x="98"/>
        <item x="686"/>
        <item x="273"/>
        <item x="561"/>
        <item x="518"/>
        <item x="153"/>
        <item x="260"/>
        <item x="615"/>
        <item x="104"/>
        <item x="202"/>
        <item x="82"/>
        <item x="425"/>
        <item x="455"/>
        <item x="590"/>
        <item x="79"/>
        <item x="391"/>
        <item x="411"/>
        <item x="346"/>
        <item x="141"/>
        <item x="49"/>
        <item x="213"/>
        <item x="528"/>
        <item x="60"/>
        <item x="594"/>
        <item x="522"/>
        <item x="172"/>
        <item x="270"/>
        <item x="483"/>
        <item x="545"/>
        <item x="547"/>
        <item x="156"/>
        <item x="506"/>
        <item x="222"/>
        <item x="420"/>
        <item x="271"/>
        <item x="302"/>
        <item x="365"/>
        <item x="458"/>
        <item x="663"/>
        <item x="476"/>
        <item x="68"/>
        <item x="19"/>
        <item x="290"/>
        <item x="308"/>
        <item x="204"/>
        <item x="112"/>
        <item x="288"/>
        <item x="20"/>
        <item x="606"/>
        <item t="default"/>
      </items>
    </pivotField>
    <pivotField showAll="0"/>
    <pivotField showAll="0"/>
    <pivotField numFmtId="1" showAll="0"/>
    <pivotField showAll="0"/>
    <pivotField axis="axisRow" showAll="0">
      <items count="4">
        <item x="0"/>
        <item x="1"/>
        <item x="2"/>
        <item t="default"/>
      </items>
    </pivotField>
    <pivotField numFmtId="1" showAll="0"/>
    <pivotField numFmtId="1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_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C0E80-A776-4FB3-A5AC-70180BB182E9}" name="PivotTable4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4:H15" firstHeaderRow="1" firstDataRow="1" firstDataCol="1"/>
  <pivotFields count="9">
    <pivotField dataField="1" numFmtId="1" showAll="0"/>
    <pivotField showAll="0"/>
    <pivotField showAll="0"/>
    <pivotField axis="axisRow" showAll="0">
      <items count="11">
        <item x="8"/>
        <item x="6"/>
        <item x="9"/>
        <item x="5"/>
        <item x="3"/>
        <item x="2"/>
        <item x="0"/>
        <item x="7"/>
        <item x="1"/>
        <item x="4"/>
        <item t="default"/>
      </items>
    </pivotField>
    <pivotField numFmtId="1" showAll="0"/>
    <pivotField showAll="0"/>
    <pivotField showAll="0"/>
    <pivotField numFmtId="1" showAll="0"/>
    <pivotField numFmtI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Emp_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D62E2-B672-46DC-8A74-E0D24152A5B5}" name="PivotTable3" cacheId="15" applyNumberFormats="0" applyBorderFormats="0" applyFontFormats="0" applyPatternFormats="0" applyAlignmentFormats="0" applyWidthHeightFormats="1" dataCaption="Values" updatedVersion="6" minRefreshableVersion="3" showDrill="0" useAutoFormatting="1" itemPrintTitles="1" createdVersion="6" indent="0" showHeaders="0" outline="1" outlineData="1" multipleFieldFilters="0">
  <location ref="D4:D5" firstHeaderRow="1" firstDataRow="1" firstDataCol="0"/>
  <pivotFields count="9">
    <pivotField dataField="1" numFmtId="1" showAll="0"/>
    <pivotField showAll="0"/>
    <pivotField showAll="0"/>
    <pivotField showAll="0">
      <items count="11">
        <item x="8"/>
        <item x="6"/>
        <item x="9"/>
        <item x="5"/>
        <item x="3"/>
        <item x="2"/>
        <item x="0"/>
        <item x="7"/>
        <item x="1"/>
        <item x="4"/>
        <item t="default"/>
      </items>
    </pivotField>
    <pivotField numFmtId="1" showAll="0"/>
    <pivotField showAll="0"/>
    <pivotField showAll="0"/>
    <pivotField numFmtId="1" showAll="0"/>
    <pivotField numFmtId="1" showAll="0"/>
  </pivotFields>
  <rowItems count="1">
    <i/>
  </rowItems>
  <colItems count="1">
    <i/>
  </colItems>
  <dataFields count="1">
    <dataField name="Count of Emp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1B9E1D-5892-42AA-93B0-FA8C23C908CD}" name="Table2" displayName="Table2" ref="A1:I1001">
  <autoFilter ref="A1:I1001" xr:uid="{3B85565C-6670-4CB4-B959-C96551C7EEFF}"/>
  <tableColumns count="9">
    <tableColumn id="1" xr3:uid="{025772A4-E7C7-4BB9-9FDF-6A9510D5D414}" name="Emp_ID" totalsRowLabel="Total" dataDxfId="2"/>
    <tableColumn id="2" xr3:uid="{DBFC9DC4-BA0E-40D8-9744-5228327BD458}" name="Employee_Name" dataDxfId="3"/>
    <tableColumn id="3" xr3:uid="{8FEE998E-1C48-4EAB-97C7-23FA53A56A4D}" name="Department" dataDxfId="4"/>
    <tableColumn id="4" xr3:uid="{5191A9B2-D797-4935-B64A-B67E2516DA27}" name="City" dataDxfId="5"/>
    <tableColumn id="5" xr3:uid="{49ED2B72-9B5E-4720-849C-22EF1626409B}" name="Salary" dataDxfId="6"/>
    <tableColumn id="6" xr3:uid="{A4EDE471-47DC-411B-8E5A-843B3A3F6035}" name="Joining_Date" dataDxfId="7"/>
    <tableColumn id="7" xr3:uid="{7D549987-7380-4387-9600-22B781364CEE}" name="Gender" dataDxfId="10"/>
    <tableColumn id="8" xr3:uid="{CA49104C-C564-42B4-B485-94ECFF93F49D}" name="Age" totalsRowFunction="average" dataDxfId="9" totalsRowDxfId="11"/>
    <tableColumn id="9" xr3:uid="{CD4E146A-1408-4E51-A45A-CEAA642CE03B}" name="Performance_Rating" totalsRowFunction="sum" dataDxfId="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5C3E-2316-42AA-813D-E0B7BCC39B3A}">
  <dimension ref="B4:K191"/>
  <sheetViews>
    <sheetView tabSelected="1" workbookViewId="0">
      <selection activeCell="I18" sqref="I18"/>
    </sheetView>
  </sheetViews>
  <sheetFormatPr defaultRowHeight="14.4" x14ac:dyDescent="0.3"/>
  <cols>
    <col min="1" max="1" width="15.44140625" bestFit="1" customWidth="1"/>
    <col min="2" max="3" width="15.77734375" bestFit="1" customWidth="1"/>
    <col min="6" max="6" width="14.5546875" bestFit="1" customWidth="1"/>
    <col min="7" max="7" width="12.44140625" bestFit="1" customWidth="1"/>
    <col min="8" max="8" width="15.44140625" bestFit="1" customWidth="1"/>
    <col min="9" max="9" width="16.88671875" bestFit="1" customWidth="1"/>
    <col min="10" max="10" width="24.88671875" bestFit="1" customWidth="1"/>
    <col min="11" max="11" width="28.21875" bestFit="1" customWidth="1"/>
  </cols>
  <sheetData>
    <row r="4" spans="2:11" x14ac:dyDescent="0.3">
      <c r="D4" t="s">
        <v>1597</v>
      </c>
      <c r="G4" s="5" t="s">
        <v>1598</v>
      </c>
      <c r="H4" t="s">
        <v>1597</v>
      </c>
    </row>
    <row r="5" spans="2:11" x14ac:dyDescent="0.3">
      <c r="D5" s="4">
        <v>1000</v>
      </c>
      <c r="G5" s="6" t="s">
        <v>61</v>
      </c>
      <c r="H5" s="4">
        <v>113</v>
      </c>
      <c r="J5" s="5" t="s">
        <v>1598</v>
      </c>
      <c r="K5" t="s">
        <v>1600</v>
      </c>
    </row>
    <row r="6" spans="2:11" x14ac:dyDescent="0.3">
      <c r="G6" s="6" t="s">
        <v>49</v>
      </c>
      <c r="H6" s="4">
        <v>96</v>
      </c>
      <c r="J6" s="6" t="s">
        <v>61</v>
      </c>
      <c r="K6" s="4">
        <v>3.168141592920354</v>
      </c>
    </row>
    <row r="7" spans="2:11" x14ac:dyDescent="0.3">
      <c r="G7" s="6" t="s">
        <v>87</v>
      </c>
      <c r="H7" s="4">
        <v>105</v>
      </c>
      <c r="J7" s="6" t="s">
        <v>49</v>
      </c>
      <c r="K7" s="4">
        <v>2.8541666666666665</v>
      </c>
    </row>
    <row r="8" spans="2:11" x14ac:dyDescent="0.3">
      <c r="G8" s="6" t="s">
        <v>36</v>
      </c>
      <c r="H8" s="4">
        <v>117</v>
      </c>
      <c r="J8" s="6" t="s">
        <v>87</v>
      </c>
      <c r="K8" s="4">
        <v>2.6666666666666665</v>
      </c>
    </row>
    <row r="9" spans="2:11" x14ac:dyDescent="0.3">
      <c r="B9" s="5" t="s">
        <v>1598</v>
      </c>
      <c r="C9" t="s">
        <v>1597</v>
      </c>
      <c r="G9" s="6" t="s">
        <v>27</v>
      </c>
      <c r="H9" s="4">
        <v>110</v>
      </c>
      <c r="J9" s="6" t="s">
        <v>36</v>
      </c>
      <c r="K9" s="4">
        <v>2.9230769230769229</v>
      </c>
    </row>
    <row r="10" spans="2:11" x14ac:dyDescent="0.3">
      <c r="B10" s="6" t="s">
        <v>13</v>
      </c>
      <c r="C10" s="4">
        <v>489</v>
      </c>
      <c r="G10" s="6" t="s">
        <v>20</v>
      </c>
      <c r="H10" s="4">
        <v>98</v>
      </c>
      <c r="J10" s="6" t="s">
        <v>27</v>
      </c>
      <c r="K10" s="4">
        <v>2.8727272727272726</v>
      </c>
    </row>
    <row r="11" spans="2:11" x14ac:dyDescent="0.3">
      <c r="B11" s="6" t="s">
        <v>24</v>
      </c>
      <c r="C11" s="4">
        <v>471</v>
      </c>
      <c r="G11" s="6" t="s">
        <v>11</v>
      </c>
      <c r="H11" s="4">
        <v>87</v>
      </c>
      <c r="J11" s="6" t="s">
        <v>20</v>
      </c>
      <c r="K11" s="4">
        <v>3.2551020408163267</v>
      </c>
    </row>
    <row r="12" spans="2:11" x14ac:dyDescent="0.3">
      <c r="B12" s="6" t="s">
        <v>1534</v>
      </c>
      <c r="C12" s="4">
        <v>40</v>
      </c>
      <c r="G12" s="6" t="s">
        <v>52</v>
      </c>
      <c r="H12" s="4">
        <v>72</v>
      </c>
      <c r="J12" s="6" t="s">
        <v>11</v>
      </c>
      <c r="K12" s="4">
        <v>2.8620689655172415</v>
      </c>
    </row>
    <row r="13" spans="2:11" x14ac:dyDescent="0.3">
      <c r="B13" s="6" t="s">
        <v>1599</v>
      </c>
      <c r="C13" s="4">
        <v>1000</v>
      </c>
      <c r="G13" s="6" t="s">
        <v>16</v>
      </c>
      <c r="H13" s="4">
        <v>112</v>
      </c>
      <c r="J13" s="6" t="s">
        <v>52</v>
      </c>
      <c r="K13" s="4">
        <v>2.8472222222222223</v>
      </c>
    </row>
    <row r="14" spans="2:11" x14ac:dyDescent="0.3">
      <c r="G14" s="6" t="s">
        <v>30</v>
      </c>
      <c r="H14" s="4">
        <v>90</v>
      </c>
      <c r="J14" s="6" t="s">
        <v>16</v>
      </c>
      <c r="K14" s="4">
        <v>3.1339285714285716</v>
      </c>
    </row>
    <row r="15" spans="2:11" x14ac:dyDescent="0.3">
      <c r="G15" s="6" t="s">
        <v>1599</v>
      </c>
      <c r="H15" s="4">
        <v>1000</v>
      </c>
      <c r="J15" s="6" t="s">
        <v>30</v>
      </c>
      <c r="K15" s="4">
        <v>3.0555555555555554</v>
      </c>
    </row>
    <row r="16" spans="2:11" x14ac:dyDescent="0.3">
      <c r="J16" s="6" t="s">
        <v>1599</v>
      </c>
      <c r="K16" s="4">
        <v>2.9689999999999999</v>
      </c>
    </row>
    <row r="17" spans="2:10" x14ac:dyDescent="0.3">
      <c r="B17" s="5" t="s">
        <v>1598</v>
      </c>
      <c r="C17" t="s">
        <v>1601</v>
      </c>
    </row>
    <row r="18" spans="2:10" x14ac:dyDescent="0.3">
      <c r="B18" s="6" t="s">
        <v>19</v>
      </c>
      <c r="C18" s="4">
        <v>91541.592592592599</v>
      </c>
      <c r="F18" s="5" t="s">
        <v>1598</v>
      </c>
      <c r="G18" t="s">
        <v>1602</v>
      </c>
      <c r="I18" s="5" t="s">
        <v>1598</v>
      </c>
      <c r="J18" t="s">
        <v>1603</v>
      </c>
    </row>
    <row r="19" spans="2:10" x14ac:dyDescent="0.3">
      <c r="B19" s="6" t="s">
        <v>39</v>
      </c>
      <c r="C19" s="4">
        <v>88211.192660550456</v>
      </c>
      <c r="F19" s="6" t="s">
        <v>864</v>
      </c>
      <c r="G19" s="4">
        <v>149848</v>
      </c>
      <c r="I19" s="6" t="s">
        <v>81</v>
      </c>
      <c r="J19" s="4">
        <v>5</v>
      </c>
    </row>
    <row r="20" spans="2:10" x14ac:dyDescent="0.3">
      <c r="B20" s="6" t="s">
        <v>44</v>
      </c>
      <c r="C20" s="4">
        <v>87316.028301886792</v>
      </c>
      <c r="F20" s="6" t="s">
        <v>1254</v>
      </c>
      <c r="G20" s="4">
        <v>149543</v>
      </c>
      <c r="I20" s="6" t="s">
        <v>38</v>
      </c>
      <c r="J20" s="4">
        <v>5</v>
      </c>
    </row>
    <row r="21" spans="2:10" x14ac:dyDescent="0.3">
      <c r="B21" s="6" t="s">
        <v>70</v>
      </c>
      <c r="C21" s="4">
        <v>80426.70114942528</v>
      </c>
      <c r="F21" s="6" t="s">
        <v>1070</v>
      </c>
      <c r="G21" s="4">
        <v>149496</v>
      </c>
      <c r="I21" s="6" t="s">
        <v>586</v>
      </c>
      <c r="J21" s="4">
        <v>5</v>
      </c>
    </row>
    <row r="22" spans="2:10" x14ac:dyDescent="0.3">
      <c r="B22" s="6" t="s">
        <v>79</v>
      </c>
      <c r="C22" s="4">
        <v>85662.247706422015</v>
      </c>
      <c r="F22" s="6" t="s">
        <v>964</v>
      </c>
      <c r="G22" s="4">
        <v>149949</v>
      </c>
      <c r="I22" s="6" t="s">
        <v>484</v>
      </c>
      <c r="J22" s="4">
        <v>5</v>
      </c>
    </row>
    <row r="23" spans="2:10" x14ac:dyDescent="0.3">
      <c r="B23" s="6" t="s">
        <v>10</v>
      </c>
      <c r="C23" s="4">
        <v>87706.989247311823</v>
      </c>
      <c r="F23" s="6" t="s">
        <v>1248</v>
      </c>
      <c r="G23" s="4">
        <v>149594</v>
      </c>
      <c r="I23" s="6" t="s">
        <v>1557</v>
      </c>
      <c r="J23" s="4">
        <v>5</v>
      </c>
    </row>
    <row r="24" spans="2:10" x14ac:dyDescent="0.3">
      <c r="B24" s="6" t="s">
        <v>26</v>
      </c>
      <c r="C24" s="4">
        <v>86583.425742574254</v>
      </c>
      <c r="F24" s="6" t="s">
        <v>1599</v>
      </c>
      <c r="G24" s="4">
        <v>149949</v>
      </c>
      <c r="I24" s="6" t="s">
        <v>1181</v>
      </c>
      <c r="J24" s="4">
        <v>5</v>
      </c>
    </row>
    <row r="25" spans="2:10" x14ac:dyDescent="0.3">
      <c r="B25" s="6" t="s">
        <v>35</v>
      </c>
      <c r="C25" s="4">
        <v>88899.30973451327</v>
      </c>
      <c r="I25" s="6" t="s">
        <v>419</v>
      </c>
      <c r="J25" s="4">
        <v>5</v>
      </c>
    </row>
    <row r="26" spans="2:10" x14ac:dyDescent="0.3">
      <c r="B26" s="6" t="s">
        <v>15</v>
      </c>
      <c r="C26" s="4">
        <v>91098.908045977005</v>
      </c>
      <c r="I26" s="6" t="s">
        <v>169</v>
      </c>
      <c r="J26" s="4">
        <v>5</v>
      </c>
    </row>
    <row r="27" spans="2:10" x14ac:dyDescent="0.3">
      <c r="B27" s="6" t="s">
        <v>63</v>
      </c>
      <c r="C27" s="4">
        <v>86845.632183908048</v>
      </c>
      <c r="I27" s="6" t="s">
        <v>924</v>
      </c>
      <c r="J27" s="4">
        <v>5</v>
      </c>
    </row>
    <row r="28" spans="2:10" x14ac:dyDescent="0.3">
      <c r="B28" s="6" t="s">
        <v>1599</v>
      </c>
      <c r="C28" s="4">
        <v>87519.792000000001</v>
      </c>
      <c r="I28" s="6" t="s">
        <v>630</v>
      </c>
      <c r="J28" s="4">
        <v>5</v>
      </c>
    </row>
    <row r="29" spans="2:10" x14ac:dyDescent="0.3">
      <c r="I29" s="6" t="s">
        <v>176</v>
      </c>
      <c r="J29" s="4">
        <v>5</v>
      </c>
    </row>
    <row r="30" spans="2:10" x14ac:dyDescent="0.3">
      <c r="I30" s="6" t="s">
        <v>777</v>
      </c>
      <c r="J30" s="4">
        <v>5</v>
      </c>
    </row>
    <row r="31" spans="2:10" x14ac:dyDescent="0.3">
      <c r="I31" s="6" t="s">
        <v>1193</v>
      </c>
      <c r="J31" s="4">
        <v>5</v>
      </c>
    </row>
    <row r="32" spans="2:10" x14ac:dyDescent="0.3">
      <c r="I32" s="6" t="s">
        <v>379</v>
      </c>
      <c r="J32" s="4">
        <v>5</v>
      </c>
    </row>
    <row r="33" spans="9:10" x14ac:dyDescent="0.3">
      <c r="I33" s="6" t="s">
        <v>362</v>
      </c>
      <c r="J33" s="4">
        <v>5</v>
      </c>
    </row>
    <row r="34" spans="9:10" x14ac:dyDescent="0.3">
      <c r="I34" s="6" t="s">
        <v>185</v>
      </c>
      <c r="J34" s="4">
        <v>5</v>
      </c>
    </row>
    <row r="35" spans="9:10" x14ac:dyDescent="0.3">
      <c r="I35" s="6" t="s">
        <v>1572</v>
      </c>
      <c r="J35" s="4">
        <v>5</v>
      </c>
    </row>
    <row r="36" spans="9:10" x14ac:dyDescent="0.3">
      <c r="I36" s="6" t="s">
        <v>926</v>
      </c>
      <c r="J36" s="4">
        <v>5</v>
      </c>
    </row>
    <row r="37" spans="9:10" x14ac:dyDescent="0.3">
      <c r="I37" s="6" t="s">
        <v>60</v>
      </c>
      <c r="J37" s="4">
        <v>5</v>
      </c>
    </row>
    <row r="38" spans="9:10" x14ac:dyDescent="0.3">
      <c r="I38" s="6" t="s">
        <v>204</v>
      </c>
      <c r="J38" s="4">
        <v>5</v>
      </c>
    </row>
    <row r="39" spans="9:10" x14ac:dyDescent="0.3">
      <c r="I39" s="6" t="s">
        <v>989</v>
      </c>
      <c r="J39" s="4">
        <v>5</v>
      </c>
    </row>
    <row r="40" spans="9:10" x14ac:dyDescent="0.3">
      <c r="I40" s="6" t="s">
        <v>875</v>
      </c>
      <c r="J40" s="4">
        <v>5</v>
      </c>
    </row>
    <row r="41" spans="9:10" x14ac:dyDescent="0.3">
      <c r="I41" s="6" t="s">
        <v>782</v>
      </c>
      <c r="J41" s="4">
        <v>5</v>
      </c>
    </row>
    <row r="42" spans="9:10" x14ac:dyDescent="0.3">
      <c r="I42" s="6" t="s">
        <v>1508</v>
      </c>
      <c r="J42" s="4">
        <v>5</v>
      </c>
    </row>
    <row r="43" spans="9:10" x14ac:dyDescent="0.3">
      <c r="I43" s="6" t="s">
        <v>710</v>
      </c>
      <c r="J43" s="4">
        <v>5</v>
      </c>
    </row>
    <row r="44" spans="9:10" x14ac:dyDescent="0.3">
      <c r="I44" s="6" t="s">
        <v>511</v>
      </c>
      <c r="J44" s="4">
        <v>5</v>
      </c>
    </row>
    <row r="45" spans="9:10" x14ac:dyDescent="0.3">
      <c r="I45" s="6" t="s">
        <v>347</v>
      </c>
      <c r="J45" s="4">
        <v>5</v>
      </c>
    </row>
    <row r="46" spans="9:10" x14ac:dyDescent="0.3">
      <c r="I46" s="6" t="s">
        <v>1133</v>
      </c>
      <c r="J46" s="4">
        <v>5</v>
      </c>
    </row>
    <row r="47" spans="9:10" x14ac:dyDescent="0.3">
      <c r="I47" s="6" t="s">
        <v>1541</v>
      </c>
      <c r="J47" s="4">
        <v>5</v>
      </c>
    </row>
    <row r="48" spans="9:10" x14ac:dyDescent="0.3">
      <c r="I48" s="6" t="s">
        <v>658</v>
      </c>
      <c r="J48" s="4">
        <v>5</v>
      </c>
    </row>
    <row r="49" spans="9:10" x14ac:dyDescent="0.3">
      <c r="I49" s="6" t="s">
        <v>519</v>
      </c>
      <c r="J49" s="4">
        <v>5</v>
      </c>
    </row>
    <row r="50" spans="9:10" x14ac:dyDescent="0.3">
      <c r="I50" s="6" t="s">
        <v>841</v>
      </c>
      <c r="J50" s="4">
        <v>5</v>
      </c>
    </row>
    <row r="51" spans="9:10" x14ac:dyDescent="0.3">
      <c r="I51" s="6" t="s">
        <v>664</v>
      </c>
      <c r="J51" s="4">
        <v>5</v>
      </c>
    </row>
    <row r="52" spans="9:10" x14ac:dyDescent="0.3">
      <c r="I52" s="6" t="s">
        <v>58</v>
      </c>
      <c r="J52" s="4">
        <v>5</v>
      </c>
    </row>
    <row r="53" spans="9:10" x14ac:dyDescent="0.3">
      <c r="I53" s="6" t="s">
        <v>599</v>
      </c>
      <c r="J53" s="4">
        <v>5</v>
      </c>
    </row>
    <row r="54" spans="9:10" x14ac:dyDescent="0.3">
      <c r="I54" s="6" t="s">
        <v>287</v>
      </c>
      <c r="J54" s="4">
        <v>5</v>
      </c>
    </row>
    <row r="55" spans="9:10" x14ac:dyDescent="0.3">
      <c r="I55" s="6" t="s">
        <v>712</v>
      </c>
      <c r="J55" s="4">
        <v>5</v>
      </c>
    </row>
    <row r="56" spans="9:10" x14ac:dyDescent="0.3">
      <c r="I56" s="6" t="s">
        <v>753</v>
      </c>
      <c r="J56" s="4">
        <v>5</v>
      </c>
    </row>
    <row r="57" spans="9:10" x14ac:dyDescent="0.3">
      <c r="I57" s="6" t="s">
        <v>1378</v>
      </c>
      <c r="J57" s="4">
        <v>5</v>
      </c>
    </row>
    <row r="58" spans="9:10" x14ac:dyDescent="0.3">
      <c r="I58" s="6" t="s">
        <v>332</v>
      </c>
      <c r="J58" s="4">
        <v>5</v>
      </c>
    </row>
    <row r="59" spans="9:10" x14ac:dyDescent="0.3">
      <c r="I59" s="6" t="s">
        <v>1423</v>
      </c>
      <c r="J59" s="4">
        <v>5</v>
      </c>
    </row>
    <row r="60" spans="9:10" x14ac:dyDescent="0.3">
      <c r="I60" s="6" t="s">
        <v>1436</v>
      </c>
      <c r="J60" s="4">
        <v>5</v>
      </c>
    </row>
    <row r="61" spans="9:10" x14ac:dyDescent="0.3">
      <c r="I61" s="6" t="s">
        <v>319</v>
      </c>
      <c r="J61" s="4">
        <v>5</v>
      </c>
    </row>
    <row r="62" spans="9:10" x14ac:dyDescent="0.3">
      <c r="I62" s="6" t="s">
        <v>1506</v>
      </c>
      <c r="J62" s="4">
        <v>5</v>
      </c>
    </row>
    <row r="63" spans="9:10" x14ac:dyDescent="0.3">
      <c r="I63" s="6" t="s">
        <v>260</v>
      </c>
      <c r="J63" s="4">
        <v>5</v>
      </c>
    </row>
    <row r="64" spans="9:10" x14ac:dyDescent="0.3">
      <c r="I64" s="6" t="s">
        <v>880</v>
      </c>
      <c r="J64" s="4">
        <v>5</v>
      </c>
    </row>
    <row r="65" spans="9:10" x14ac:dyDescent="0.3">
      <c r="I65" s="6" t="s">
        <v>321</v>
      </c>
      <c r="J65" s="4">
        <v>5</v>
      </c>
    </row>
    <row r="66" spans="9:10" x14ac:dyDescent="0.3">
      <c r="I66" s="6" t="s">
        <v>1191</v>
      </c>
      <c r="J66" s="4">
        <v>5</v>
      </c>
    </row>
    <row r="67" spans="9:10" x14ac:dyDescent="0.3">
      <c r="I67" s="6" t="s">
        <v>102</v>
      </c>
      <c r="J67" s="4">
        <v>5</v>
      </c>
    </row>
    <row r="68" spans="9:10" x14ac:dyDescent="0.3">
      <c r="I68" s="6" t="s">
        <v>991</v>
      </c>
      <c r="J68" s="4">
        <v>5</v>
      </c>
    </row>
    <row r="69" spans="9:10" x14ac:dyDescent="0.3">
      <c r="I69" s="6" t="s">
        <v>353</v>
      </c>
      <c r="J69" s="4">
        <v>5</v>
      </c>
    </row>
    <row r="70" spans="9:10" x14ac:dyDescent="0.3">
      <c r="I70" s="6" t="s">
        <v>54</v>
      </c>
      <c r="J70" s="4">
        <v>5</v>
      </c>
    </row>
    <row r="71" spans="9:10" x14ac:dyDescent="0.3">
      <c r="I71" s="6" t="s">
        <v>470</v>
      </c>
      <c r="J71" s="4">
        <v>5</v>
      </c>
    </row>
    <row r="72" spans="9:10" x14ac:dyDescent="0.3">
      <c r="I72" s="6" t="s">
        <v>1356</v>
      </c>
      <c r="J72" s="4">
        <v>5</v>
      </c>
    </row>
    <row r="73" spans="9:10" x14ac:dyDescent="0.3">
      <c r="I73" s="6" t="s">
        <v>1592</v>
      </c>
      <c r="J73" s="4">
        <v>5</v>
      </c>
    </row>
    <row r="74" spans="9:10" x14ac:dyDescent="0.3">
      <c r="I74" s="6" t="s">
        <v>1383</v>
      </c>
      <c r="J74" s="4">
        <v>5</v>
      </c>
    </row>
    <row r="75" spans="9:10" x14ac:dyDescent="0.3">
      <c r="I75" s="6" t="s">
        <v>355</v>
      </c>
      <c r="J75" s="4">
        <v>5</v>
      </c>
    </row>
    <row r="76" spans="9:10" x14ac:dyDescent="0.3">
      <c r="I76" s="6" t="s">
        <v>1405</v>
      </c>
      <c r="J76" s="4">
        <v>5</v>
      </c>
    </row>
    <row r="77" spans="9:10" x14ac:dyDescent="0.3">
      <c r="I77" s="6" t="s">
        <v>1454</v>
      </c>
      <c r="J77" s="4">
        <v>5</v>
      </c>
    </row>
    <row r="78" spans="9:10" x14ac:dyDescent="0.3">
      <c r="I78" s="6" t="s">
        <v>1023</v>
      </c>
      <c r="J78" s="4">
        <v>5</v>
      </c>
    </row>
    <row r="79" spans="9:10" x14ac:dyDescent="0.3">
      <c r="I79" s="6" t="s">
        <v>113</v>
      </c>
      <c r="J79" s="4">
        <v>5</v>
      </c>
    </row>
    <row r="80" spans="9:10" x14ac:dyDescent="0.3">
      <c r="I80" s="6" t="s">
        <v>147</v>
      </c>
      <c r="J80" s="4">
        <v>5</v>
      </c>
    </row>
    <row r="81" spans="9:10" x14ac:dyDescent="0.3">
      <c r="I81" s="6" t="s">
        <v>1451</v>
      </c>
      <c r="J81" s="4">
        <v>5</v>
      </c>
    </row>
    <row r="82" spans="9:10" x14ac:dyDescent="0.3">
      <c r="I82" s="6" t="s">
        <v>1559</v>
      </c>
      <c r="J82" s="4">
        <v>5</v>
      </c>
    </row>
    <row r="83" spans="9:10" x14ac:dyDescent="0.3">
      <c r="I83" s="6" t="s">
        <v>218</v>
      </c>
      <c r="J83" s="4">
        <v>5</v>
      </c>
    </row>
    <row r="84" spans="9:10" x14ac:dyDescent="0.3">
      <c r="I84" s="6" t="s">
        <v>306</v>
      </c>
      <c r="J84" s="4">
        <v>5</v>
      </c>
    </row>
    <row r="85" spans="9:10" x14ac:dyDescent="0.3">
      <c r="I85" s="6" t="s">
        <v>1316</v>
      </c>
      <c r="J85" s="4">
        <v>5</v>
      </c>
    </row>
    <row r="86" spans="9:10" x14ac:dyDescent="0.3">
      <c r="I86" s="6" t="s">
        <v>211</v>
      </c>
      <c r="J86" s="4">
        <v>5</v>
      </c>
    </row>
    <row r="87" spans="9:10" x14ac:dyDescent="0.3">
      <c r="I87" s="6" t="s">
        <v>1170</v>
      </c>
      <c r="J87" s="4">
        <v>5</v>
      </c>
    </row>
    <row r="88" spans="9:10" x14ac:dyDescent="0.3">
      <c r="I88" s="6" t="s">
        <v>1489</v>
      </c>
      <c r="J88" s="4">
        <v>5</v>
      </c>
    </row>
    <row r="89" spans="9:10" x14ac:dyDescent="0.3">
      <c r="I89" s="6" t="s">
        <v>488</v>
      </c>
      <c r="J89" s="4">
        <v>5</v>
      </c>
    </row>
    <row r="90" spans="9:10" x14ac:dyDescent="0.3">
      <c r="I90" s="6" t="s">
        <v>922</v>
      </c>
      <c r="J90" s="4">
        <v>5</v>
      </c>
    </row>
    <row r="91" spans="9:10" x14ac:dyDescent="0.3">
      <c r="I91" s="6" t="s">
        <v>1094</v>
      </c>
      <c r="J91" s="4">
        <v>5</v>
      </c>
    </row>
    <row r="92" spans="9:10" x14ac:dyDescent="0.3">
      <c r="I92" s="6" t="s">
        <v>120</v>
      </c>
      <c r="J92" s="4">
        <v>5</v>
      </c>
    </row>
    <row r="93" spans="9:10" x14ac:dyDescent="0.3">
      <c r="I93" s="6" t="s">
        <v>744</v>
      </c>
      <c r="J93" s="4">
        <v>5</v>
      </c>
    </row>
    <row r="94" spans="9:10" x14ac:dyDescent="0.3">
      <c r="I94" s="6" t="s">
        <v>1546</v>
      </c>
      <c r="J94" s="4">
        <v>5</v>
      </c>
    </row>
    <row r="95" spans="9:10" x14ac:dyDescent="0.3">
      <c r="I95" s="6" t="s">
        <v>747</v>
      </c>
      <c r="J95" s="4">
        <v>5</v>
      </c>
    </row>
    <row r="96" spans="9:10" x14ac:dyDescent="0.3">
      <c r="I96" s="6" t="s">
        <v>564</v>
      </c>
      <c r="J96" s="4">
        <v>5</v>
      </c>
    </row>
    <row r="97" spans="9:10" x14ac:dyDescent="0.3">
      <c r="I97" s="6" t="s">
        <v>142</v>
      </c>
      <c r="J97" s="4">
        <v>5</v>
      </c>
    </row>
    <row r="98" spans="9:10" x14ac:dyDescent="0.3">
      <c r="I98" s="6" t="s">
        <v>566</v>
      </c>
      <c r="J98" s="4">
        <v>5</v>
      </c>
    </row>
    <row r="99" spans="9:10" x14ac:dyDescent="0.3">
      <c r="I99" s="6" t="s">
        <v>1178</v>
      </c>
      <c r="J99" s="4">
        <v>5</v>
      </c>
    </row>
    <row r="100" spans="9:10" x14ac:dyDescent="0.3">
      <c r="I100" s="6" t="s">
        <v>1401</v>
      </c>
      <c r="J100" s="4">
        <v>5</v>
      </c>
    </row>
    <row r="101" spans="9:10" x14ac:dyDescent="0.3">
      <c r="I101" s="6" t="s">
        <v>1335</v>
      </c>
      <c r="J101" s="4">
        <v>5</v>
      </c>
    </row>
    <row r="102" spans="9:10" x14ac:dyDescent="0.3">
      <c r="I102" s="6" t="s">
        <v>1594</v>
      </c>
      <c r="J102" s="4">
        <v>5</v>
      </c>
    </row>
    <row r="103" spans="9:10" x14ac:dyDescent="0.3">
      <c r="I103" s="6" t="s">
        <v>291</v>
      </c>
      <c r="J103" s="4">
        <v>5</v>
      </c>
    </row>
    <row r="104" spans="9:10" x14ac:dyDescent="0.3">
      <c r="I104" s="6" t="s">
        <v>395</v>
      </c>
      <c r="J104" s="4">
        <v>5</v>
      </c>
    </row>
    <row r="105" spans="9:10" x14ac:dyDescent="0.3">
      <c r="I105" s="6" t="s">
        <v>1469</v>
      </c>
      <c r="J105" s="4">
        <v>5</v>
      </c>
    </row>
    <row r="106" spans="9:10" x14ac:dyDescent="0.3">
      <c r="I106" s="6" t="s">
        <v>1310</v>
      </c>
      <c r="J106" s="4">
        <v>5</v>
      </c>
    </row>
    <row r="107" spans="9:10" x14ac:dyDescent="0.3">
      <c r="I107" s="6" t="s">
        <v>1562</v>
      </c>
      <c r="J107" s="4">
        <v>5</v>
      </c>
    </row>
    <row r="108" spans="9:10" x14ac:dyDescent="0.3">
      <c r="I108" s="6" t="s">
        <v>1520</v>
      </c>
      <c r="J108" s="4">
        <v>5</v>
      </c>
    </row>
    <row r="109" spans="9:10" x14ac:dyDescent="0.3">
      <c r="I109" s="6" t="s">
        <v>1376</v>
      </c>
      <c r="J109" s="4">
        <v>5</v>
      </c>
    </row>
    <row r="110" spans="9:10" x14ac:dyDescent="0.3">
      <c r="I110" s="6" t="s">
        <v>1348</v>
      </c>
      <c r="J110" s="4">
        <v>5</v>
      </c>
    </row>
    <row r="111" spans="9:10" x14ac:dyDescent="0.3">
      <c r="I111" s="6" t="s">
        <v>729</v>
      </c>
      <c r="J111" s="4">
        <v>5</v>
      </c>
    </row>
    <row r="112" spans="9:10" x14ac:dyDescent="0.3">
      <c r="I112" s="6" t="s">
        <v>741</v>
      </c>
      <c r="J112" s="4">
        <v>5</v>
      </c>
    </row>
    <row r="113" spans="9:10" x14ac:dyDescent="0.3">
      <c r="I113" s="6" t="s">
        <v>1498</v>
      </c>
      <c r="J113" s="4">
        <v>5</v>
      </c>
    </row>
    <row r="114" spans="9:10" x14ac:dyDescent="0.3">
      <c r="I114" s="6" t="s">
        <v>223</v>
      </c>
      <c r="J114" s="4">
        <v>5</v>
      </c>
    </row>
    <row r="115" spans="9:10" x14ac:dyDescent="0.3">
      <c r="I115" s="6" t="s">
        <v>122</v>
      </c>
      <c r="J115" s="4">
        <v>5</v>
      </c>
    </row>
    <row r="116" spans="9:10" x14ac:dyDescent="0.3">
      <c r="I116" s="6" t="s">
        <v>1154</v>
      </c>
      <c r="J116" s="4">
        <v>5</v>
      </c>
    </row>
    <row r="117" spans="9:10" x14ac:dyDescent="0.3">
      <c r="I117" s="6" t="s">
        <v>1590</v>
      </c>
      <c r="J117" s="4">
        <v>5</v>
      </c>
    </row>
    <row r="118" spans="9:10" x14ac:dyDescent="0.3">
      <c r="I118" s="6" t="s">
        <v>1235</v>
      </c>
      <c r="J118" s="4">
        <v>5</v>
      </c>
    </row>
    <row r="119" spans="9:10" x14ac:dyDescent="0.3">
      <c r="I119" s="6" t="s">
        <v>620</v>
      </c>
      <c r="J119" s="4">
        <v>5</v>
      </c>
    </row>
    <row r="120" spans="9:10" x14ac:dyDescent="0.3">
      <c r="I120" s="6" t="s">
        <v>206</v>
      </c>
      <c r="J120" s="4">
        <v>5</v>
      </c>
    </row>
    <row r="121" spans="9:10" x14ac:dyDescent="0.3">
      <c r="I121" s="6" t="s">
        <v>552</v>
      </c>
      <c r="J121" s="4">
        <v>5</v>
      </c>
    </row>
    <row r="122" spans="9:10" x14ac:dyDescent="0.3">
      <c r="I122" s="6" t="s">
        <v>669</v>
      </c>
      <c r="J122" s="4">
        <v>5</v>
      </c>
    </row>
    <row r="123" spans="9:10" x14ac:dyDescent="0.3">
      <c r="I123" s="6" t="s">
        <v>106</v>
      </c>
      <c r="J123" s="4">
        <v>5</v>
      </c>
    </row>
    <row r="124" spans="9:10" x14ac:dyDescent="0.3">
      <c r="I124" s="6" t="s">
        <v>111</v>
      </c>
      <c r="J124" s="4">
        <v>5</v>
      </c>
    </row>
    <row r="125" spans="9:10" x14ac:dyDescent="0.3">
      <c r="I125" s="6" t="s">
        <v>581</v>
      </c>
      <c r="J125" s="4">
        <v>5</v>
      </c>
    </row>
    <row r="126" spans="9:10" x14ac:dyDescent="0.3">
      <c r="I126" s="6" t="s">
        <v>1083</v>
      </c>
      <c r="J126" s="4">
        <v>5</v>
      </c>
    </row>
    <row r="127" spans="9:10" x14ac:dyDescent="0.3">
      <c r="I127" s="6" t="s">
        <v>1119</v>
      </c>
      <c r="J127" s="4">
        <v>5</v>
      </c>
    </row>
    <row r="128" spans="9:10" x14ac:dyDescent="0.3">
      <c r="I128" s="6" t="s">
        <v>853</v>
      </c>
      <c r="J128" s="4">
        <v>5</v>
      </c>
    </row>
    <row r="129" spans="9:10" x14ac:dyDescent="0.3">
      <c r="I129" s="6" t="s">
        <v>937</v>
      </c>
      <c r="J129" s="4">
        <v>5</v>
      </c>
    </row>
    <row r="130" spans="9:10" x14ac:dyDescent="0.3">
      <c r="I130" s="6" t="s">
        <v>1075</v>
      </c>
      <c r="J130" s="4">
        <v>5</v>
      </c>
    </row>
    <row r="131" spans="9:10" x14ac:dyDescent="0.3">
      <c r="I131" s="6" t="s">
        <v>220</v>
      </c>
      <c r="J131" s="4">
        <v>5</v>
      </c>
    </row>
    <row r="132" spans="9:10" x14ac:dyDescent="0.3">
      <c r="I132" s="6" t="s">
        <v>496</v>
      </c>
      <c r="J132" s="4">
        <v>5</v>
      </c>
    </row>
    <row r="133" spans="9:10" x14ac:dyDescent="0.3">
      <c r="I133" s="6" t="s">
        <v>159</v>
      </c>
      <c r="J133" s="4">
        <v>5</v>
      </c>
    </row>
    <row r="134" spans="9:10" x14ac:dyDescent="0.3">
      <c r="I134" s="6" t="s">
        <v>702</v>
      </c>
      <c r="J134" s="4">
        <v>5</v>
      </c>
    </row>
    <row r="135" spans="9:10" x14ac:dyDescent="0.3">
      <c r="I135" s="6" t="s">
        <v>1434</v>
      </c>
      <c r="J135" s="4">
        <v>5</v>
      </c>
    </row>
    <row r="136" spans="9:10" x14ac:dyDescent="0.3">
      <c r="I136" s="6" t="s">
        <v>697</v>
      </c>
      <c r="J136" s="4">
        <v>5</v>
      </c>
    </row>
    <row r="137" spans="9:10" x14ac:dyDescent="0.3">
      <c r="I137" s="6" t="s">
        <v>840</v>
      </c>
      <c r="J137" s="4">
        <v>5</v>
      </c>
    </row>
    <row r="138" spans="9:10" x14ac:dyDescent="0.3">
      <c r="I138" s="6" t="s">
        <v>662</v>
      </c>
      <c r="J138" s="4">
        <v>5</v>
      </c>
    </row>
    <row r="139" spans="9:10" x14ac:dyDescent="0.3">
      <c r="I139" s="6" t="s">
        <v>765</v>
      </c>
      <c r="J139" s="4">
        <v>5</v>
      </c>
    </row>
    <row r="140" spans="9:10" x14ac:dyDescent="0.3">
      <c r="I140" s="6" t="s">
        <v>906</v>
      </c>
      <c r="J140" s="4">
        <v>5</v>
      </c>
    </row>
    <row r="141" spans="9:10" x14ac:dyDescent="0.3">
      <c r="I141" s="6" t="s">
        <v>739</v>
      </c>
      <c r="J141" s="4">
        <v>5</v>
      </c>
    </row>
    <row r="142" spans="9:10" x14ac:dyDescent="0.3">
      <c r="I142" s="6" t="s">
        <v>264</v>
      </c>
      <c r="J142" s="4">
        <v>5</v>
      </c>
    </row>
    <row r="143" spans="9:10" x14ac:dyDescent="0.3">
      <c r="I143" s="6" t="s">
        <v>202</v>
      </c>
      <c r="J143" s="4">
        <v>5</v>
      </c>
    </row>
    <row r="144" spans="9:10" x14ac:dyDescent="0.3">
      <c r="I144" s="6" t="s">
        <v>358</v>
      </c>
      <c r="J144" s="4">
        <v>5</v>
      </c>
    </row>
    <row r="145" spans="9:10" x14ac:dyDescent="0.3">
      <c r="I145" s="6" t="s">
        <v>1256</v>
      </c>
      <c r="J145" s="4">
        <v>5</v>
      </c>
    </row>
    <row r="146" spans="9:10" x14ac:dyDescent="0.3">
      <c r="I146" s="6" t="s">
        <v>1417</v>
      </c>
      <c r="J146" s="4">
        <v>5</v>
      </c>
    </row>
    <row r="147" spans="9:10" x14ac:dyDescent="0.3">
      <c r="I147" s="6" t="s">
        <v>813</v>
      </c>
      <c r="J147" s="4">
        <v>5</v>
      </c>
    </row>
    <row r="148" spans="9:10" x14ac:dyDescent="0.3">
      <c r="I148" s="6" t="s">
        <v>524</v>
      </c>
      <c r="J148" s="4">
        <v>5</v>
      </c>
    </row>
    <row r="149" spans="9:10" x14ac:dyDescent="0.3">
      <c r="I149" s="6" t="s">
        <v>829</v>
      </c>
      <c r="J149" s="4">
        <v>5</v>
      </c>
    </row>
    <row r="150" spans="9:10" x14ac:dyDescent="0.3">
      <c r="I150" s="6" t="s">
        <v>641</v>
      </c>
      <c r="J150" s="4">
        <v>5</v>
      </c>
    </row>
    <row r="151" spans="9:10" x14ac:dyDescent="0.3">
      <c r="I151" s="6" t="s">
        <v>134</v>
      </c>
      <c r="J151" s="4">
        <v>5</v>
      </c>
    </row>
    <row r="152" spans="9:10" x14ac:dyDescent="0.3">
      <c r="I152" s="6" t="s">
        <v>1123</v>
      </c>
      <c r="J152" s="4">
        <v>5</v>
      </c>
    </row>
    <row r="153" spans="9:10" x14ac:dyDescent="0.3">
      <c r="I153" s="6" t="s">
        <v>1552</v>
      </c>
      <c r="J153" s="4">
        <v>5</v>
      </c>
    </row>
    <row r="154" spans="9:10" x14ac:dyDescent="0.3">
      <c r="I154" s="6" t="s">
        <v>608</v>
      </c>
      <c r="J154" s="4">
        <v>5</v>
      </c>
    </row>
    <row r="155" spans="9:10" x14ac:dyDescent="0.3">
      <c r="I155" s="6" t="s">
        <v>957</v>
      </c>
      <c r="J155" s="4">
        <v>5</v>
      </c>
    </row>
    <row r="156" spans="9:10" x14ac:dyDescent="0.3">
      <c r="I156" s="6" t="s">
        <v>550</v>
      </c>
      <c r="J156" s="4">
        <v>5</v>
      </c>
    </row>
    <row r="157" spans="9:10" x14ac:dyDescent="0.3">
      <c r="I157" s="6" t="s">
        <v>601</v>
      </c>
      <c r="J157" s="4">
        <v>5</v>
      </c>
    </row>
    <row r="158" spans="9:10" x14ac:dyDescent="0.3">
      <c r="I158" s="6" t="s">
        <v>163</v>
      </c>
      <c r="J158" s="4">
        <v>5</v>
      </c>
    </row>
    <row r="159" spans="9:10" x14ac:dyDescent="0.3">
      <c r="I159" s="6" t="s">
        <v>459</v>
      </c>
      <c r="J159" s="4">
        <v>5</v>
      </c>
    </row>
    <row r="160" spans="9:10" x14ac:dyDescent="0.3">
      <c r="I160" s="6" t="s">
        <v>1027</v>
      </c>
      <c r="J160" s="4">
        <v>5</v>
      </c>
    </row>
    <row r="161" spans="9:10" x14ac:dyDescent="0.3">
      <c r="I161" s="6" t="s">
        <v>271</v>
      </c>
      <c r="J161" s="4">
        <v>5</v>
      </c>
    </row>
    <row r="162" spans="9:10" x14ac:dyDescent="0.3">
      <c r="I162" s="6" t="s">
        <v>308</v>
      </c>
      <c r="J162" s="4">
        <v>5</v>
      </c>
    </row>
    <row r="163" spans="9:10" x14ac:dyDescent="0.3">
      <c r="I163" s="6" t="s">
        <v>446</v>
      </c>
      <c r="J163" s="4">
        <v>5</v>
      </c>
    </row>
    <row r="164" spans="9:10" x14ac:dyDescent="0.3">
      <c r="I164" s="6" t="s">
        <v>432</v>
      </c>
      <c r="J164" s="4">
        <v>5</v>
      </c>
    </row>
    <row r="165" spans="9:10" x14ac:dyDescent="0.3">
      <c r="I165" s="6" t="s">
        <v>1079</v>
      </c>
      <c r="J165" s="4">
        <v>5</v>
      </c>
    </row>
    <row r="166" spans="9:10" x14ac:dyDescent="0.3">
      <c r="I166" s="6" t="s">
        <v>492</v>
      </c>
      <c r="J166" s="4">
        <v>5</v>
      </c>
    </row>
    <row r="167" spans="9:10" x14ac:dyDescent="0.3">
      <c r="I167" s="6" t="s">
        <v>1373</v>
      </c>
      <c r="J167" s="4">
        <v>5</v>
      </c>
    </row>
    <row r="168" spans="9:10" x14ac:dyDescent="0.3">
      <c r="I168" s="6" t="s">
        <v>100</v>
      </c>
      <c r="J168" s="4">
        <v>5</v>
      </c>
    </row>
    <row r="169" spans="9:10" x14ac:dyDescent="0.3">
      <c r="I169" s="6" t="s">
        <v>824</v>
      </c>
      <c r="J169" s="4">
        <v>5</v>
      </c>
    </row>
    <row r="170" spans="9:10" x14ac:dyDescent="0.3">
      <c r="I170" s="6" t="s">
        <v>482</v>
      </c>
      <c r="J170" s="4">
        <v>5</v>
      </c>
    </row>
    <row r="171" spans="9:10" x14ac:dyDescent="0.3">
      <c r="I171" s="6" t="s">
        <v>1200</v>
      </c>
      <c r="J171" s="4">
        <v>5</v>
      </c>
    </row>
    <row r="172" spans="9:10" x14ac:dyDescent="0.3">
      <c r="I172" s="6" t="s">
        <v>1304</v>
      </c>
      <c r="J172" s="4">
        <v>5</v>
      </c>
    </row>
    <row r="173" spans="9:10" x14ac:dyDescent="0.3">
      <c r="I173" s="6" t="s">
        <v>530</v>
      </c>
      <c r="J173" s="4">
        <v>5</v>
      </c>
    </row>
    <row r="174" spans="9:10" x14ac:dyDescent="0.3">
      <c r="I174" s="6" t="s">
        <v>1565</v>
      </c>
      <c r="J174" s="4">
        <v>5</v>
      </c>
    </row>
    <row r="175" spans="9:10" x14ac:dyDescent="0.3">
      <c r="I175" s="6" t="s">
        <v>274</v>
      </c>
      <c r="J175" s="4">
        <v>5</v>
      </c>
    </row>
    <row r="176" spans="9:10" x14ac:dyDescent="0.3">
      <c r="I176" s="6" t="s">
        <v>1466</v>
      </c>
      <c r="J176" s="4">
        <v>5</v>
      </c>
    </row>
    <row r="177" spans="9:10" x14ac:dyDescent="0.3">
      <c r="I177" s="6" t="s">
        <v>987</v>
      </c>
      <c r="J177" s="4">
        <v>5</v>
      </c>
    </row>
    <row r="178" spans="9:10" x14ac:dyDescent="0.3">
      <c r="I178" s="6" t="s">
        <v>933</v>
      </c>
      <c r="J178" s="4">
        <v>5</v>
      </c>
    </row>
    <row r="179" spans="9:10" x14ac:dyDescent="0.3">
      <c r="I179" s="6" t="s">
        <v>1102</v>
      </c>
      <c r="J179" s="4">
        <v>5</v>
      </c>
    </row>
    <row r="180" spans="9:10" x14ac:dyDescent="0.3">
      <c r="I180" s="6" t="s">
        <v>1324</v>
      </c>
      <c r="J180" s="4">
        <v>5</v>
      </c>
    </row>
    <row r="181" spans="9:10" x14ac:dyDescent="0.3">
      <c r="I181" s="6" t="s">
        <v>108</v>
      </c>
      <c r="J181" s="4">
        <v>5</v>
      </c>
    </row>
    <row r="182" spans="9:10" x14ac:dyDescent="0.3">
      <c r="I182" s="6" t="s">
        <v>1098</v>
      </c>
      <c r="J182" s="4">
        <v>5</v>
      </c>
    </row>
    <row r="183" spans="9:10" x14ac:dyDescent="0.3">
      <c r="I183" s="6" t="s">
        <v>229</v>
      </c>
      <c r="J183" s="4">
        <v>5</v>
      </c>
    </row>
    <row r="184" spans="9:10" x14ac:dyDescent="0.3">
      <c r="I184" s="6" t="s">
        <v>187</v>
      </c>
      <c r="J184" s="4">
        <v>5</v>
      </c>
    </row>
    <row r="185" spans="9:10" x14ac:dyDescent="0.3">
      <c r="I185" s="6" t="s">
        <v>857</v>
      </c>
      <c r="J185" s="4">
        <v>5</v>
      </c>
    </row>
    <row r="186" spans="9:10" x14ac:dyDescent="0.3">
      <c r="I186" s="6" t="s">
        <v>1126</v>
      </c>
      <c r="J186" s="4">
        <v>5</v>
      </c>
    </row>
    <row r="187" spans="9:10" x14ac:dyDescent="0.3">
      <c r="I187" s="6" t="s">
        <v>329</v>
      </c>
      <c r="J187" s="4">
        <v>5</v>
      </c>
    </row>
    <row r="188" spans="9:10" x14ac:dyDescent="0.3">
      <c r="I188" s="6" t="s">
        <v>161</v>
      </c>
      <c r="J188" s="4">
        <v>5</v>
      </c>
    </row>
    <row r="189" spans="9:10" x14ac:dyDescent="0.3">
      <c r="I189" s="6" t="s">
        <v>1542</v>
      </c>
      <c r="J189" s="4">
        <v>5</v>
      </c>
    </row>
    <row r="190" spans="9:10" x14ac:dyDescent="0.3">
      <c r="I190" s="6" t="s">
        <v>607</v>
      </c>
      <c r="J190" s="4">
        <v>5</v>
      </c>
    </row>
    <row r="191" spans="9:10" x14ac:dyDescent="0.3">
      <c r="I191" s="6" t="s">
        <v>1599</v>
      </c>
      <c r="J191" s="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opLeftCell="A2" workbookViewId="0">
      <selection activeCell="B14" sqref="B14"/>
    </sheetView>
  </sheetViews>
  <sheetFormatPr defaultRowHeight="14.4" x14ac:dyDescent="0.3"/>
  <cols>
    <col min="1" max="1" width="9.44140625" style="1" customWidth="1"/>
    <col min="2" max="4" width="17.21875" style="3" customWidth="1"/>
    <col min="5" max="5" width="17.21875" style="1" customWidth="1"/>
    <col min="6" max="6" width="13" customWidth="1"/>
    <col min="9" max="9" width="13.6640625" style="2" customWidth="1"/>
    <col min="10" max="10" width="9" style="3" customWidth="1"/>
    <col min="11" max="11" width="8.88671875" style="1"/>
    <col min="12" max="12" width="20.109375" style="1" customWidth="1"/>
  </cols>
  <sheetData>
    <row r="1" spans="1:16" x14ac:dyDescent="0.3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/>
      <c r="K1"/>
      <c r="L1"/>
    </row>
    <row r="2" spans="1:16" x14ac:dyDescent="0.3">
      <c r="A2" s="1">
        <v>5001</v>
      </c>
      <c r="B2" s="3" t="s">
        <v>9</v>
      </c>
      <c r="C2" s="3" t="s">
        <v>10</v>
      </c>
      <c r="D2" s="3" t="s">
        <v>11</v>
      </c>
      <c r="E2" s="1">
        <v>58250</v>
      </c>
      <c r="F2" s="2" t="s">
        <v>12</v>
      </c>
      <c r="G2" s="3" t="s">
        <v>13</v>
      </c>
      <c r="H2" s="1">
        <v>31</v>
      </c>
      <c r="I2" s="1">
        <v>3</v>
      </c>
      <c r="J2"/>
      <c r="K2"/>
      <c r="L2"/>
    </row>
    <row r="3" spans="1:16" x14ac:dyDescent="0.3">
      <c r="A3" s="1">
        <v>5002</v>
      </c>
      <c r="B3" s="3" t="s">
        <v>14</v>
      </c>
      <c r="C3" s="3" t="s">
        <v>15</v>
      </c>
      <c r="D3" s="3" t="s">
        <v>16</v>
      </c>
      <c r="E3" s="1">
        <v>125933</v>
      </c>
      <c r="F3" s="2" t="s">
        <v>17</v>
      </c>
      <c r="G3" s="3" t="s">
        <v>13</v>
      </c>
      <c r="H3" s="1">
        <v>40</v>
      </c>
      <c r="I3" s="1">
        <v>1</v>
      </c>
      <c r="J3"/>
      <c r="K3">
        <f>COUNTBLANK(Table2[Gender])</f>
        <v>0</v>
      </c>
      <c r="L3"/>
    </row>
    <row r="4" spans="1:16" x14ac:dyDescent="0.3">
      <c r="A4" s="1">
        <v>5003</v>
      </c>
      <c r="B4" s="3" t="s">
        <v>18</v>
      </c>
      <c r="C4" s="3" t="s">
        <v>19</v>
      </c>
      <c r="D4" s="3" t="s">
        <v>20</v>
      </c>
      <c r="E4" s="1">
        <v>115551</v>
      </c>
      <c r="F4" s="2" t="s">
        <v>21</v>
      </c>
      <c r="G4" s="3" t="s">
        <v>13</v>
      </c>
      <c r="H4" s="1">
        <v>38</v>
      </c>
      <c r="I4" s="1">
        <v>2</v>
      </c>
      <c r="J4"/>
      <c r="K4"/>
      <c r="L4"/>
    </row>
    <row r="5" spans="1:16" x14ac:dyDescent="0.3">
      <c r="A5" s="1">
        <v>5004</v>
      </c>
      <c r="B5" s="3" t="s">
        <v>22</v>
      </c>
      <c r="C5" s="3" t="s">
        <v>10</v>
      </c>
      <c r="D5" s="3" t="s">
        <v>20</v>
      </c>
      <c r="E5" s="1">
        <v>43693</v>
      </c>
      <c r="F5" s="2" t="s">
        <v>23</v>
      </c>
      <c r="G5" s="3" t="s">
        <v>24</v>
      </c>
      <c r="H5" s="1">
        <v>38</v>
      </c>
      <c r="I5" s="1">
        <v>2</v>
      </c>
      <c r="J5"/>
      <c r="K5"/>
      <c r="L5" t="s">
        <v>1535</v>
      </c>
      <c r="M5">
        <f>QUARTILE(Table2[Salary],1)</f>
        <v>57999</v>
      </c>
      <c r="P5">
        <v>1.5</v>
      </c>
    </row>
    <row r="6" spans="1:16" x14ac:dyDescent="0.3">
      <c r="A6" s="1">
        <v>5005</v>
      </c>
      <c r="B6" s="3" t="s">
        <v>25</v>
      </c>
      <c r="C6" s="3" t="s">
        <v>26</v>
      </c>
      <c r="D6" s="3" t="s">
        <v>27</v>
      </c>
      <c r="E6" s="1">
        <v>135517</v>
      </c>
      <c r="F6" s="2" t="s">
        <v>28</v>
      </c>
      <c r="G6" s="3" t="s">
        <v>13</v>
      </c>
      <c r="H6" s="1">
        <v>48</v>
      </c>
      <c r="I6" s="1">
        <v>1</v>
      </c>
      <c r="J6"/>
      <c r="K6"/>
      <c r="L6"/>
    </row>
    <row r="7" spans="1:16" x14ac:dyDescent="0.3">
      <c r="A7" s="1">
        <v>5006</v>
      </c>
      <c r="B7" s="3" t="s">
        <v>29</v>
      </c>
      <c r="C7" s="3" t="s">
        <v>15</v>
      </c>
      <c r="D7" s="3" t="s">
        <v>30</v>
      </c>
      <c r="E7" s="1">
        <v>53361</v>
      </c>
      <c r="F7" s="2" t="s">
        <v>31</v>
      </c>
      <c r="G7" s="3" t="s">
        <v>24</v>
      </c>
      <c r="H7" s="1">
        <v>36</v>
      </c>
      <c r="I7" s="1">
        <v>2</v>
      </c>
      <c r="J7"/>
      <c r="K7"/>
      <c r="L7" t="s">
        <v>1536</v>
      </c>
      <c r="M7">
        <f>QUARTILE(Table2[Salary],3)</f>
        <v>117321.25</v>
      </c>
    </row>
    <row r="8" spans="1:16" x14ac:dyDescent="0.3">
      <c r="A8" s="1">
        <v>5007</v>
      </c>
      <c r="B8" s="3" t="s">
        <v>32</v>
      </c>
      <c r="C8" s="3" t="s">
        <v>19</v>
      </c>
      <c r="D8" s="3" t="s">
        <v>27</v>
      </c>
      <c r="E8" s="1">
        <v>41106</v>
      </c>
      <c r="F8" s="2" t="s">
        <v>33</v>
      </c>
      <c r="G8" s="3" t="s">
        <v>24</v>
      </c>
      <c r="H8" s="1">
        <v>24</v>
      </c>
      <c r="I8" s="1">
        <v>1</v>
      </c>
      <c r="J8"/>
      <c r="K8"/>
      <c r="L8"/>
    </row>
    <row r="9" spans="1:16" x14ac:dyDescent="0.3">
      <c r="A9" s="1">
        <v>5008</v>
      </c>
      <c r="B9" s="3" t="s">
        <v>1541</v>
      </c>
      <c r="C9" s="3" t="s">
        <v>10</v>
      </c>
      <c r="D9" s="3" t="s">
        <v>11</v>
      </c>
      <c r="E9" s="1">
        <v>44553</v>
      </c>
      <c r="F9" s="2" t="s">
        <v>34</v>
      </c>
      <c r="G9" s="3" t="s">
        <v>24</v>
      </c>
      <c r="H9" s="1">
        <v>35</v>
      </c>
      <c r="I9" s="1">
        <v>5</v>
      </c>
      <c r="J9"/>
      <c r="K9"/>
      <c r="L9"/>
    </row>
    <row r="10" spans="1:16" x14ac:dyDescent="0.3">
      <c r="A10" s="1">
        <v>5009</v>
      </c>
      <c r="B10" s="3" t="s">
        <v>634</v>
      </c>
      <c r="C10" s="3" t="s">
        <v>35</v>
      </c>
      <c r="D10" s="3" t="s">
        <v>36</v>
      </c>
      <c r="E10" s="1">
        <v>103571</v>
      </c>
      <c r="F10" s="2" t="s">
        <v>37</v>
      </c>
      <c r="G10" s="3" t="s">
        <v>24</v>
      </c>
      <c r="H10" s="1">
        <v>33</v>
      </c>
      <c r="I10" s="1">
        <v>4</v>
      </c>
      <c r="J10"/>
      <c r="K10"/>
      <c r="L10" t="s">
        <v>1537</v>
      </c>
      <c r="M10" t="s">
        <v>1538</v>
      </c>
      <c r="N10">
        <f>M7-M5</f>
        <v>59322.25</v>
      </c>
    </row>
    <row r="11" spans="1:16" x14ac:dyDescent="0.3">
      <c r="A11" s="1">
        <v>5010</v>
      </c>
      <c r="B11" s="3" t="s">
        <v>38</v>
      </c>
      <c r="C11" s="3" t="s">
        <v>39</v>
      </c>
      <c r="D11" s="3" t="s">
        <v>36</v>
      </c>
      <c r="E11" s="1">
        <v>50283</v>
      </c>
      <c r="F11" s="2" t="s">
        <v>40</v>
      </c>
      <c r="G11" s="3" t="s">
        <v>13</v>
      </c>
      <c r="H11" s="1">
        <v>37</v>
      </c>
      <c r="I11" s="1">
        <v>5</v>
      </c>
      <c r="J11"/>
      <c r="K11"/>
      <c r="L11"/>
    </row>
    <row r="12" spans="1:16" x14ac:dyDescent="0.3">
      <c r="A12" s="1">
        <v>5011</v>
      </c>
      <c r="B12" s="3" t="s">
        <v>41</v>
      </c>
      <c r="C12" s="3" t="s">
        <v>19</v>
      </c>
      <c r="D12" s="3" t="s">
        <v>36</v>
      </c>
      <c r="E12" s="1">
        <v>106361</v>
      </c>
      <c r="F12" s="2" t="s">
        <v>42</v>
      </c>
      <c r="G12" s="3" t="s">
        <v>13</v>
      </c>
      <c r="H12" s="1">
        <v>45</v>
      </c>
      <c r="I12" s="1">
        <v>4</v>
      </c>
      <c r="J12"/>
      <c r="K12"/>
      <c r="L12" t="s">
        <v>1539</v>
      </c>
      <c r="N12">
        <f>M5-P5*(N10)</f>
        <v>-30984.375</v>
      </c>
    </row>
    <row r="13" spans="1:16" x14ac:dyDescent="0.3">
      <c r="A13" s="1">
        <v>5012</v>
      </c>
      <c r="B13" s="3" t="s">
        <v>43</v>
      </c>
      <c r="C13" s="3" t="s">
        <v>44</v>
      </c>
      <c r="D13" s="3" t="s">
        <v>30</v>
      </c>
      <c r="E13" s="1">
        <v>112879</v>
      </c>
      <c r="F13" s="2" t="s">
        <v>45</v>
      </c>
      <c r="G13" s="3" t="s">
        <v>13</v>
      </c>
      <c r="H13" s="1">
        <v>43</v>
      </c>
      <c r="I13" s="1">
        <v>1</v>
      </c>
      <c r="J13"/>
      <c r="K13"/>
      <c r="L13"/>
    </row>
    <row r="14" spans="1:16" x14ac:dyDescent="0.3">
      <c r="A14" s="1">
        <v>5013</v>
      </c>
      <c r="B14" s="3" t="s">
        <v>46</v>
      </c>
      <c r="C14" s="3" t="s">
        <v>10</v>
      </c>
      <c r="D14" s="3" t="s">
        <v>36</v>
      </c>
      <c r="E14" s="1">
        <v>73746</v>
      </c>
      <c r="F14" s="2" t="s">
        <v>47</v>
      </c>
      <c r="G14" s="3" t="s">
        <v>24</v>
      </c>
      <c r="H14" s="1">
        <v>32</v>
      </c>
      <c r="I14" s="1">
        <v>3</v>
      </c>
      <c r="J14"/>
      <c r="K14"/>
      <c r="L14"/>
    </row>
    <row r="15" spans="1:16" x14ac:dyDescent="0.3">
      <c r="A15" s="1">
        <v>5014</v>
      </c>
      <c r="B15" s="3" t="s">
        <v>48</v>
      </c>
      <c r="C15" s="3" t="s">
        <v>15</v>
      </c>
      <c r="D15" s="3" t="s">
        <v>49</v>
      </c>
      <c r="E15" s="1">
        <v>105084</v>
      </c>
      <c r="F15" s="2" t="s">
        <v>50</v>
      </c>
      <c r="G15" s="3" t="s">
        <v>13</v>
      </c>
      <c r="H15" s="1">
        <v>38</v>
      </c>
      <c r="I15" s="1">
        <v>2</v>
      </c>
      <c r="J15"/>
      <c r="K15"/>
      <c r="L15" t="s">
        <v>1540</v>
      </c>
      <c r="N15">
        <f>M7+P5*(N10)</f>
        <v>206304.625</v>
      </c>
    </row>
    <row r="16" spans="1:16" x14ac:dyDescent="0.3">
      <c r="A16" s="1">
        <v>5015</v>
      </c>
      <c r="B16" s="3" t="s">
        <v>51</v>
      </c>
      <c r="C16" s="3" t="s">
        <v>15</v>
      </c>
      <c r="D16" s="3" t="s">
        <v>52</v>
      </c>
      <c r="E16" s="1">
        <v>53210</v>
      </c>
      <c r="F16" s="2" t="s">
        <v>53</v>
      </c>
      <c r="G16" s="3" t="s">
        <v>24</v>
      </c>
      <c r="H16" s="1">
        <v>43</v>
      </c>
      <c r="I16" s="1">
        <v>2</v>
      </c>
      <c r="J16"/>
      <c r="K16"/>
      <c r="L16"/>
    </row>
    <row r="17" spans="1:14" x14ac:dyDescent="0.3">
      <c r="A17" s="1">
        <v>5016</v>
      </c>
      <c r="B17" s="3" t="s">
        <v>54</v>
      </c>
      <c r="C17" s="3" t="s">
        <v>26</v>
      </c>
      <c r="D17" s="3" t="s">
        <v>30</v>
      </c>
      <c r="E17" s="1">
        <v>125684</v>
      </c>
      <c r="F17" s="2" t="s">
        <v>55</v>
      </c>
      <c r="G17" s="3" t="s">
        <v>24</v>
      </c>
      <c r="H17" s="1">
        <v>21</v>
      </c>
      <c r="I17" s="1">
        <v>5</v>
      </c>
      <c r="J17"/>
      <c r="K17"/>
      <c r="L17"/>
    </row>
    <row r="18" spans="1:14" x14ac:dyDescent="0.3">
      <c r="A18" s="1">
        <v>5017</v>
      </c>
      <c r="B18" s="3" t="s">
        <v>56</v>
      </c>
      <c r="C18" s="3" t="s">
        <v>44</v>
      </c>
      <c r="D18" s="3" t="s">
        <v>52</v>
      </c>
      <c r="E18" s="1">
        <v>74925</v>
      </c>
      <c r="F18" s="2" t="s">
        <v>57</v>
      </c>
      <c r="G18" s="3" t="s">
        <v>24</v>
      </c>
      <c r="H18" s="1">
        <v>24</v>
      </c>
      <c r="I18" s="1">
        <v>2</v>
      </c>
      <c r="J18"/>
      <c r="K18"/>
      <c r="L18"/>
    </row>
    <row r="19" spans="1:14" x14ac:dyDescent="0.3">
      <c r="A19" s="1">
        <v>5018</v>
      </c>
      <c r="B19" s="3" t="s">
        <v>58</v>
      </c>
      <c r="C19" s="3" t="s">
        <v>39</v>
      </c>
      <c r="D19" s="3" t="s">
        <v>20</v>
      </c>
      <c r="E19" s="1">
        <v>90920</v>
      </c>
      <c r="F19" s="2" t="s">
        <v>59</v>
      </c>
      <c r="G19" s="3" t="s">
        <v>24</v>
      </c>
      <c r="H19" s="1">
        <v>55</v>
      </c>
      <c r="I19" s="1">
        <v>5</v>
      </c>
      <c r="J19"/>
      <c r="K19"/>
      <c r="L19"/>
      <c r="N19">
        <f>COUNTBLANK(Table2[Emp_ID])</f>
        <v>0</v>
      </c>
    </row>
    <row r="20" spans="1:14" x14ac:dyDescent="0.3">
      <c r="A20" s="1">
        <v>5019</v>
      </c>
      <c r="B20" s="3" t="s">
        <v>60</v>
      </c>
      <c r="C20" s="3" t="s">
        <v>19</v>
      </c>
      <c r="D20" s="3" t="s">
        <v>61</v>
      </c>
      <c r="E20" s="1">
        <v>99323</v>
      </c>
      <c r="F20" s="2" t="s">
        <v>62</v>
      </c>
      <c r="G20" s="3" t="s">
        <v>13</v>
      </c>
      <c r="H20" s="1">
        <v>42</v>
      </c>
      <c r="I20" s="1">
        <v>3</v>
      </c>
      <c r="J20"/>
      <c r="K20"/>
      <c r="L20"/>
    </row>
    <row r="21" spans="1:14" x14ac:dyDescent="0.3">
      <c r="A21" s="1">
        <v>5020</v>
      </c>
      <c r="B21" s="3" t="s">
        <v>1542</v>
      </c>
      <c r="C21" s="3" t="s">
        <v>63</v>
      </c>
      <c r="D21" s="3" t="s">
        <v>16</v>
      </c>
      <c r="E21" s="1">
        <v>38057</v>
      </c>
      <c r="F21" s="2" t="s">
        <v>64</v>
      </c>
      <c r="G21" s="3" t="s">
        <v>13</v>
      </c>
      <c r="H21" s="1">
        <v>38</v>
      </c>
      <c r="I21" s="1">
        <v>5</v>
      </c>
      <c r="J21"/>
      <c r="K21"/>
      <c r="L21"/>
    </row>
    <row r="22" spans="1:14" x14ac:dyDescent="0.3">
      <c r="A22" s="1">
        <v>5021</v>
      </c>
      <c r="B22" s="3" t="s">
        <v>65</v>
      </c>
      <c r="C22" s="3" t="s">
        <v>44</v>
      </c>
      <c r="D22" s="3" t="s">
        <v>20</v>
      </c>
      <c r="E22" s="1">
        <v>102474</v>
      </c>
      <c r="F22" s="2" t="s">
        <v>66</v>
      </c>
      <c r="G22" s="3" t="s">
        <v>13</v>
      </c>
      <c r="H22" s="1">
        <v>49</v>
      </c>
      <c r="I22" s="1">
        <v>2</v>
      </c>
      <c r="J22"/>
      <c r="K22"/>
      <c r="L22"/>
    </row>
    <row r="23" spans="1:14" x14ac:dyDescent="0.3">
      <c r="A23" s="1">
        <v>5022</v>
      </c>
      <c r="B23" s="3" t="s">
        <v>67</v>
      </c>
      <c r="C23" s="3" t="s">
        <v>63</v>
      </c>
      <c r="D23" s="3" t="s">
        <v>20</v>
      </c>
      <c r="E23" s="1">
        <v>66127</v>
      </c>
      <c r="F23" s="2" t="s">
        <v>68</v>
      </c>
      <c r="G23" s="3" t="s">
        <v>13</v>
      </c>
      <c r="H23" s="1">
        <v>27</v>
      </c>
      <c r="I23" s="1">
        <v>3</v>
      </c>
      <c r="J23"/>
      <c r="K23"/>
      <c r="L23"/>
    </row>
    <row r="24" spans="1:14" x14ac:dyDescent="0.3">
      <c r="A24" s="1">
        <v>5023</v>
      </c>
      <c r="B24" s="3" t="s">
        <v>69</v>
      </c>
      <c r="C24" s="3" t="s">
        <v>70</v>
      </c>
      <c r="D24" s="3" t="s">
        <v>52</v>
      </c>
      <c r="E24" s="1">
        <v>36351</v>
      </c>
      <c r="F24" s="2" t="s">
        <v>71</v>
      </c>
      <c r="G24" s="3" t="s">
        <v>24</v>
      </c>
      <c r="H24" s="1">
        <v>42</v>
      </c>
      <c r="I24" s="1">
        <v>2</v>
      </c>
      <c r="J24"/>
      <c r="K24"/>
      <c r="L24"/>
    </row>
    <row r="25" spans="1:14" x14ac:dyDescent="0.3">
      <c r="A25" s="1">
        <v>5024</v>
      </c>
      <c r="B25" s="3" t="s">
        <v>25</v>
      </c>
      <c r="C25" s="3" t="s">
        <v>39</v>
      </c>
      <c r="D25" s="3" t="s">
        <v>11</v>
      </c>
      <c r="E25" s="1">
        <v>47201</v>
      </c>
      <c r="F25" s="2" t="s">
        <v>72</v>
      </c>
      <c r="G25" s="3" t="s">
        <v>24</v>
      </c>
      <c r="H25" s="1">
        <v>46</v>
      </c>
      <c r="I25" s="1">
        <v>1</v>
      </c>
      <c r="J25"/>
      <c r="K25"/>
      <c r="L25"/>
    </row>
    <row r="26" spans="1:14" x14ac:dyDescent="0.3">
      <c r="A26" s="1">
        <v>5025</v>
      </c>
      <c r="B26" s="3" t="s">
        <v>1270</v>
      </c>
      <c r="C26" s="3" t="s">
        <v>39</v>
      </c>
      <c r="D26" s="3" t="s">
        <v>36</v>
      </c>
      <c r="E26" s="1">
        <v>124441</v>
      </c>
      <c r="F26" s="2" t="s">
        <v>73</v>
      </c>
      <c r="G26" s="3" t="s">
        <v>24</v>
      </c>
      <c r="H26" s="1">
        <v>36</v>
      </c>
      <c r="I26" s="1">
        <v>2</v>
      </c>
      <c r="J26"/>
      <c r="K26"/>
      <c r="L26"/>
    </row>
    <row r="27" spans="1:14" x14ac:dyDescent="0.3">
      <c r="A27" s="1">
        <v>5026</v>
      </c>
      <c r="B27" s="3" t="s">
        <v>74</v>
      </c>
      <c r="C27" s="3" t="s">
        <v>70</v>
      </c>
      <c r="D27" s="3" t="s">
        <v>36</v>
      </c>
      <c r="E27" s="1">
        <v>145165</v>
      </c>
      <c r="F27" s="2" t="s">
        <v>75</v>
      </c>
      <c r="G27" s="3" t="s">
        <v>24</v>
      </c>
      <c r="H27" s="1">
        <v>33</v>
      </c>
      <c r="I27" s="1">
        <v>3</v>
      </c>
      <c r="J27"/>
      <c r="K27"/>
      <c r="L27"/>
    </row>
    <row r="28" spans="1:14" x14ac:dyDescent="0.3">
      <c r="A28" s="1">
        <v>5027</v>
      </c>
      <c r="B28" s="3" t="s">
        <v>76</v>
      </c>
      <c r="C28" s="3" t="s">
        <v>10</v>
      </c>
      <c r="D28" s="3" t="s">
        <v>11</v>
      </c>
      <c r="E28" s="1">
        <v>85941</v>
      </c>
      <c r="F28" s="2" t="s">
        <v>77</v>
      </c>
      <c r="G28" s="3" t="s">
        <v>24</v>
      </c>
      <c r="H28" s="1">
        <v>30</v>
      </c>
      <c r="I28" s="1">
        <v>2</v>
      </c>
      <c r="J28"/>
      <c r="K28"/>
      <c r="L28"/>
    </row>
    <row r="29" spans="1:14" x14ac:dyDescent="0.3">
      <c r="A29" s="1">
        <v>5028</v>
      </c>
      <c r="B29" s="3" t="s">
        <v>78</v>
      </c>
      <c r="C29" s="3" t="s">
        <v>79</v>
      </c>
      <c r="D29" s="3" t="s">
        <v>49</v>
      </c>
      <c r="E29" s="1">
        <v>77300</v>
      </c>
      <c r="F29" s="2" t="s">
        <v>80</v>
      </c>
      <c r="G29" s="3" t="s">
        <v>24</v>
      </c>
      <c r="H29" s="1">
        <v>53</v>
      </c>
      <c r="I29" s="1">
        <v>3</v>
      </c>
      <c r="J29"/>
      <c r="K29"/>
      <c r="L29"/>
    </row>
    <row r="30" spans="1:14" x14ac:dyDescent="0.3">
      <c r="A30" s="1">
        <v>5029</v>
      </c>
      <c r="B30" s="3" t="s">
        <v>81</v>
      </c>
      <c r="C30" s="3" t="s">
        <v>10</v>
      </c>
      <c r="D30" s="3" t="s">
        <v>61</v>
      </c>
      <c r="E30" s="1">
        <v>122857</v>
      </c>
      <c r="F30" s="2" t="s">
        <v>82</v>
      </c>
      <c r="G30" s="3" t="s">
        <v>13</v>
      </c>
      <c r="H30" s="1">
        <v>54</v>
      </c>
      <c r="I30" s="1">
        <v>5</v>
      </c>
      <c r="J30"/>
      <c r="K30"/>
      <c r="L30"/>
    </row>
    <row r="31" spans="1:14" x14ac:dyDescent="0.3">
      <c r="A31" s="1">
        <v>5030</v>
      </c>
      <c r="B31" s="3" t="s">
        <v>83</v>
      </c>
      <c r="C31" s="3" t="s">
        <v>26</v>
      </c>
      <c r="D31" s="3" t="s">
        <v>36</v>
      </c>
      <c r="E31" s="1">
        <v>83906</v>
      </c>
      <c r="F31" s="2" t="s">
        <v>84</v>
      </c>
      <c r="G31" s="3" t="s">
        <v>13</v>
      </c>
      <c r="H31" s="1">
        <v>50</v>
      </c>
      <c r="I31" s="1">
        <v>4</v>
      </c>
      <c r="J31"/>
      <c r="K31"/>
      <c r="L31"/>
    </row>
    <row r="32" spans="1:14" x14ac:dyDescent="0.3">
      <c r="A32" s="1">
        <v>5031</v>
      </c>
      <c r="B32" s="3" t="s">
        <v>60</v>
      </c>
      <c r="C32" s="3" t="s">
        <v>26</v>
      </c>
      <c r="D32" s="3" t="s">
        <v>61</v>
      </c>
      <c r="E32" s="1">
        <v>44581</v>
      </c>
      <c r="F32" s="2" t="s">
        <v>85</v>
      </c>
      <c r="G32" s="3" t="s">
        <v>24</v>
      </c>
      <c r="H32" s="1">
        <v>27</v>
      </c>
      <c r="I32" s="1">
        <v>3</v>
      </c>
      <c r="J32"/>
      <c r="K32"/>
      <c r="L32"/>
    </row>
    <row r="33" spans="1:12" x14ac:dyDescent="0.3">
      <c r="A33" s="1">
        <v>5032</v>
      </c>
      <c r="B33" s="3" t="s">
        <v>86</v>
      </c>
      <c r="C33" s="3" t="s">
        <v>26</v>
      </c>
      <c r="D33" s="3" t="s">
        <v>87</v>
      </c>
      <c r="E33" s="1">
        <v>40064</v>
      </c>
      <c r="F33" s="2" t="s">
        <v>88</v>
      </c>
      <c r="G33" s="3" t="s">
        <v>24</v>
      </c>
      <c r="H33" s="1">
        <v>44</v>
      </c>
      <c r="I33" s="1">
        <v>2</v>
      </c>
      <c r="J33"/>
      <c r="K33"/>
      <c r="L33"/>
    </row>
    <row r="34" spans="1:12" x14ac:dyDescent="0.3">
      <c r="A34" s="1">
        <v>5033</v>
      </c>
      <c r="B34" s="3" t="s">
        <v>89</v>
      </c>
      <c r="C34" s="3" t="s">
        <v>35</v>
      </c>
      <c r="D34" s="3" t="s">
        <v>52</v>
      </c>
      <c r="E34" s="1">
        <v>40487</v>
      </c>
      <c r="F34" s="2" t="s">
        <v>90</v>
      </c>
      <c r="G34" s="3" t="s">
        <v>13</v>
      </c>
      <c r="H34" s="1">
        <v>33</v>
      </c>
      <c r="I34" s="1">
        <v>3</v>
      </c>
      <c r="J34"/>
      <c r="K34"/>
      <c r="L34"/>
    </row>
    <row r="35" spans="1:12" x14ac:dyDescent="0.3">
      <c r="A35" s="1">
        <v>5034</v>
      </c>
      <c r="B35" s="3" t="s">
        <v>91</v>
      </c>
      <c r="C35" s="3" t="s">
        <v>39</v>
      </c>
      <c r="D35" s="3" t="s">
        <v>87</v>
      </c>
      <c r="E35" s="1">
        <v>29862</v>
      </c>
      <c r="F35" s="2" t="s">
        <v>92</v>
      </c>
      <c r="G35" s="3" t="s">
        <v>24</v>
      </c>
      <c r="H35" s="1">
        <v>28</v>
      </c>
      <c r="I35" s="1">
        <v>1</v>
      </c>
      <c r="J35"/>
      <c r="K35"/>
      <c r="L35"/>
    </row>
    <row r="36" spans="1:12" x14ac:dyDescent="0.3">
      <c r="A36" s="1">
        <v>5035</v>
      </c>
      <c r="B36" s="3" t="s">
        <v>93</v>
      </c>
      <c r="C36" s="3" t="s">
        <v>70</v>
      </c>
      <c r="D36" s="3" t="s">
        <v>11</v>
      </c>
      <c r="E36" s="1">
        <v>62534</v>
      </c>
      <c r="F36" s="2" t="s">
        <v>94</v>
      </c>
      <c r="G36" s="3" t="s">
        <v>1534</v>
      </c>
      <c r="H36" s="1">
        <v>53</v>
      </c>
      <c r="I36" s="1">
        <v>3</v>
      </c>
      <c r="J36"/>
      <c r="K36"/>
      <c r="L36"/>
    </row>
    <row r="37" spans="1:12" x14ac:dyDescent="0.3">
      <c r="A37" s="1">
        <v>5036</v>
      </c>
      <c r="B37" s="3" t="s">
        <v>595</v>
      </c>
      <c r="C37" s="3" t="s">
        <v>44</v>
      </c>
      <c r="D37" s="3" t="s">
        <v>27</v>
      </c>
      <c r="E37" s="1">
        <v>62222</v>
      </c>
      <c r="F37" s="2" t="s">
        <v>95</v>
      </c>
      <c r="G37" s="3" t="s">
        <v>13</v>
      </c>
      <c r="H37" s="1">
        <v>46</v>
      </c>
      <c r="I37" s="1">
        <v>2</v>
      </c>
      <c r="J37"/>
      <c r="K37"/>
      <c r="L37"/>
    </row>
    <row r="38" spans="1:12" x14ac:dyDescent="0.3">
      <c r="A38" s="1">
        <v>5037</v>
      </c>
      <c r="B38" s="3" t="s">
        <v>96</v>
      </c>
      <c r="C38" s="3" t="s">
        <v>44</v>
      </c>
      <c r="D38" s="3" t="s">
        <v>87</v>
      </c>
      <c r="E38" s="1">
        <v>58638</v>
      </c>
      <c r="F38" s="2" t="s">
        <v>97</v>
      </c>
      <c r="G38" s="3" t="s">
        <v>24</v>
      </c>
      <c r="H38" s="1">
        <v>23</v>
      </c>
      <c r="I38" s="1">
        <v>2</v>
      </c>
      <c r="J38"/>
      <c r="K38"/>
      <c r="L38"/>
    </row>
    <row r="39" spans="1:12" x14ac:dyDescent="0.3">
      <c r="A39" s="1">
        <v>5038</v>
      </c>
      <c r="B39" s="3" t="s">
        <v>98</v>
      </c>
      <c r="C39" s="3" t="s">
        <v>15</v>
      </c>
      <c r="D39" s="3" t="s">
        <v>16</v>
      </c>
      <c r="E39" s="1">
        <v>147527</v>
      </c>
      <c r="F39" s="2" t="s">
        <v>99</v>
      </c>
      <c r="G39" s="3" t="s">
        <v>24</v>
      </c>
      <c r="H39" s="1">
        <v>45</v>
      </c>
      <c r="I39" s="1">
        <v>2</v>
      </c>
      <c r="J39"/>
      <c r="K39"/>
      <c r="L39"/>
    </row>
    <row r="40" spans="1:12" x14ac:dyDescent="0.3">
      <c r="A40" s="1">
        <v>5039</v>
      </c>
      <c r="B40" s="3" t="s">
        <v>100</v>
      </c>
      <c r="C40" s="3" t="s">
        <v>19</v>
      </c>
      <c r="D40" s="3" t="s">
        <v>16</v>
      </c>
      <c r="E40" s="1">
        <v>96838</v>
      </c>
      <c r="F40" s="2" t="s">
        <v>101</v>
      </c>
      <c r="G40" s="3" t="s">
        <v>24</v>
      </c>
      <c r="H40" s="1">
        <v>26</v>
      </c>
      <c r="I40" s="1">
        <v>5</v>
      </c>
      <c r="J40"/>
      <c r="K40"/>
      <c r="L40"/>
    </row>
    <row r="41" spans="1:12" x14ac:dyDescent="0.3">
      <c r="A41" s="1">
        <v>5040</v>
      </c>
      <c r="B41" s="3" t="s">
        <v>102</v>
      </c>
      <c r="C41" s="3" t="s">
        <v>70</v>
      </c>
      <c r="D41" s="3" t="s">
        <v>52</v>
      </c>
      <c r="E41" s="1">
        <v>89152</v>
      </c>
      <c r="F41" s="2" t="s">
        <v>103</v>
      </c>
      <c r="G41" s="3" t="s">
        <v>24</v>
      </c>
      <c r="H41" s="1">
        <v>49</v>
      </c>
      <c r="I41" s="1">
        <v>5</v>
      </c>
      <c r="J41"/>
      <c r="K41"/>
      <c r="L41"/>
    </row>
    <row r="42" spans="1:12" x14ac:dyDescent="0.3">
      <c r="A42" s="1">
        <v>5041</v>
      </c>
      <c r="B42" s="3" t="s">
        <v>104</v>
      </c>
      <c r="C42" s="3" t="s">
        <v>19</v>
      </c>
      <c r="D42" s="3" t="s">
        <v>52</v>
      </c>
      <c r="E42" s="1">
        <v>100108</v>
      </c>
      <c r="F42" s="2" t="s">
        <v>105</v>
      </c>
      <c r="G42" s="3" t="s">
        <v>13</v>
      </c>
      <c r="H42" s="1">
        <v>43</v>
      </c>
      <c r="I42" s="1">
        <v>3</v>
      </c>
      <c r="J42"/>
      <c r="K42"/>
      <c r="L42"/>
    </row>
    <row r="43" spans="1:12" x14ac:dyDescent="0.3">
      <c r="A43" s="1">
        <v>5042</v>
      </c>
      <c r="B43" s="3" t="s">
        <v>106</v>
      </c>
      <c r="C43" s="3" t="s">
        <v>26</v>
      </c>
      <c r="D43" s="3" t="s">
        <v>11</v>
      </c>
      <c r="E43" s="1">
        <v>147361</v>
      </c>
      <c r="F43" s="2" t="s">
        <v>107</v>
      </c>
      <c r="G43" s="3" t="s">
        <v>13</v>
      </c>
      <c r="H43" s="1">
        <v>29</v>
      </c>
      <c r="I43" s="1">
        <v>2</v>
      </c>
      <c r="J43"/>
      <c r="K43"/>
      <c r="L43"/>
    </row>
    <row r="44" spans="1:12" x14ac:dyDescent="0.3">
      <c r="A44" s="1">
        <v>5043</v>
      </c>
      <c r="B44" s="3" t="s">
        <v>108</v>
      </c>
      <c r="C44" s="3" t="s">
        <v>70</v>
      </c>
      <c r="D44" s="3" t="s">
        <v>20</v>
      </c>
      <c r="E44" s="1">
        <v>61202</v>
      </c>
      <c r="F44" s="2" t="s">
        <v>94</v>
      </c>
      <c r="G44" s="3" t="s">
        <v>13</v>
      </c>
      <c r="H44" s="1">
        <v>49</v>
      </c>
      <c r="I44" s="1">
        <v>5</v>
      </c>
      <c r="J44"/>
      <c r="K44"/>
      <c r="L44"/>
    </row>
    <row r="45" spans="1:12" x14ac:dyDescent="0.3">
      <c r="A45" s="1">
        <v>5044</v>
      </c>
      <c r="B45" s="3" t="s">
        <v>109</v>
      </c>
      <c r="C45" s="3" t="s">
        <v>19</v>
      </c>
      <c r="D45" s="3" t="s">
        <v>36</v>
      </c>
      <c r="E45" s="1">
        <v>132676</v>
      </c>
      <c r="F45" s="2" t="s">
        <v>110</v>
      </c>
      <c r="G45" s="3" t="s">
        <v>13</v>
      </c>
      <c r="H45" s="1">
        <v>42</v>
      </c>
      <c r="I45" s="1">
        <v>3</v>
      </c>
      <c r="J45"/>
      <c r="K45"/>
      <c r="L45"/>
    </row>
    <row r="46" spans="1:12" x14ac:dyDescent="0.3">
      <c r="A46" s="1">
        <v>5045</v>
      </c>
      <c r="B46" s="3" t="s">
        <v>111</v>
      </c>
      <c r="C46" s="3" t="s">
        <v>15</v>
      </c>
      <c r="D46" s="3" t="s">
        <v>11</v>
      </c>
      <c r="E46" s="1">
        <v>103746</v>
      </c>
      <c r="F46" s="2" t="s">
        <v>112</v>
      </c>
      <c r="G46" s="3" t="s">
        <v>24</v>
      </c>
      <c r="H46" s="1">
        <v>37</v>
      </c>
      <c r="I46" s="1">
        <v>5</v>
      </c>
      <c r="J46"/>
      <c r="K46"/>
      <c r="L46"/>
    </row>
    <row r="47" spans="1:12" x14ac:dyDescent="0.3">
      <c r="A47" s="1">
        <v>5046</v>
      </c>
      <c r="B47" s="3" t="s">
        <v>113</v>
      </c>
      <c r="C47" s="3" t="s">
        <v>39</v>
      </c>
      <c r="D47" s="3" t="s">
        <v>27</v>
      </c>
      <c r="E47" s="1">
        <v>128559</v>
      </c>
      <c r="F47" s="2" t="s">
        <v>114</v>
      </c>
      <c r="G47" s="3" t="s">
        <v>13</v>
      </c>
      <c r="H47" s="1">
        <v>28</v>
      </c>
      <c r="I47" s="1">
        <v>5</v>
      </c>
      <c r="J47"/>
      <c r="K47"/>
      <c r="L47"/>
    </row>
    <row r="48" spans="1:12" x14ac:dyDescent="0.3">
      <c r="A48" s="1">
        <v>5047</v>
      </c>
      <c r="B48" s="3" t="s">
        <v>1543</v>
      </c>
      <c r="C48" s="3" t="s">
        <v>70</v>
      </c>
      <c r="D48" s="3" t="s">
        <v>27</v>
      </c>
      <c r="E48" s="1">
        <v>40110</v>
      </c>
      <c r="F48" s="2" t="s">
        <v>115</v>
      </c>
      <c r="G48" s="3" t="s">
        <v>13</v>
      </c>
      <c r="H48" s="1">
        <v>31</v>
      </c>
      <c r="I48" s="1">
        <v>4</v>
      </c>
      <c r="J48"/>
      <c r="K48"/>
      <c r="L48"/>
    </row>
    <row r="49" spans="1:12" x14ac:dyDescent="0.3">
      <c r="A49" s="1">
        <v>5048</v>
      </c>
      <c r="B49" s="3" t="s">
        <v>116</v>
      </c>
      <c r="C49" s="3" t="s">
        <v>70</v>
      </c>
      <c r="D49" s="3" t="s">
        <v>27</v>
      </c>
      <c r="E49" s="1">
        <v>44008</v>
      </c>
      <c r="F49" s="2" t="s">
        <v>117</v>
      </c>
      <c r="G49" s="3" t="s">
        <v>13</v>
      </c>
      <c r="H49" s="1">
        <v>34</v>
      </c>
      <c r="I49" s="1">
        <v>3</v>
      </c>
      <c r="J49"/>
      <c r="K49"/>
      <c r="L49"/>
    </row>
    <row r="50" spans="1:12" x14ac:dyDescent="0.3">
      <c r="A50" s="1">
        <v>5049</v>
      </c>
      <c r="B50" s="3" t="s">
        <v>118</v>
      </c>
      <c r="C50" s="3" t="s">
        <v>63</v>
      </c>
      <c r="D50" s="3" t="s">
        <v>16</v>
      </c>
      <c r="E50" s="1">
        <v>71490</v>
      </c>
      <c r="F50" s="2" t="s">
        <v>119</v>
      </c>
      <c r="G50" s="3" t="s">
        <v>13</v>
      </c>
      <c r="H50" s="1">
        <v>23</v>
      </c>
      <c r="I50" s="1">
        <v>4</v>
      </c>
      <c r="J50"/>
      <c r="K50"/>
      <c r="L50"/>
    </row>
    <row r="51" spans="1:12" x14ac:dyDescent="0.3">
      <c r="A51" s="1">
        <v>5050</v>
      </c>
      <c r="B51" s="3" t="s">
        <v>120</v>
      </c>
      <c r="C51" s="3" t="s">
        <v>63</v>
      </c>
      <c r="D51" s="3" t="s">
        <v>61</v>
      </c>
      <c r="E51" s="1">
        <v>60258</v>
      </c>
      <c r="F51" s="2" t="s">
        <v>121</v>
      </c>
      <c r="G51" s="3" t="s">
        <v>13</v>
      </c>
      <c r="H51" s="1">
        <v>37</v>
      </c>
      <c r="I51" s="1">
        <v>5</v>
      </c>
      <c r="J51"/>
      <c r="K51"/>
      <c r="L51"/>
    </row>
    <row r="52" spans="1:12" x14ac:dyDescent="0.3">
      <c r="A52" s="1">
        <v>5051</v>
      </c>
      <c r="B52" s="3" t="s">
        <v>122</v>
      </c>
      <c r="C52" s="3" t="s">
        <v>39</v>
      </c>
      <c r="D52" s="3" t="s">
        <v>16</v>
      </c>
      <c r="E52" s="1">
        <v>127957</v>
      </c>
      <c r="F52" s="2" t="s">
        <v>123</v>
      </c>
      <c r="G52" s="3" t="s">
        <v>24</v>
      </c>
      <c r="H52" s="1">
        <v>29</v>
      </c>
      <c r="I52" s="1">
        <v>5</v>
      </c>
      <c r="J52"/>
      <c r="K52"/>
      <c r="L52"/>
    </row>
    <row r="53" spans="1:12" x14ac:dyDescent="0.3">
      <c r="A53" s="1">
        <v>5052</v>
      </c>
      <c r="B53" s="3" t="s">
        <v>124</v>
      </c>
      <c r="C53" s="3" t="s">
        <v>39</v>
      </c>
      <c r="D53" s="3" t="s">
        <v>30</v>
      </c>
      <c r="E53" s="1">
        <v>48831</v>
      </c>
      <c r="F53" s="2" t="s">
        <v>125</v>
      </c>
      <c r="G53" s="3" t="s">
        <v>24</v>
      </c>
      <c r="H53" s="1">
        <v>40</v>
      </c>
      <c r="I53" s="1">
        <v>4</v>
      </c>
      <c r="J53"/>
      <c r="K53"/>
      <c r="L53"/>
    </row>
    <row r="54" spans="1:12" x14ac:dyDescent="0.3">
      <c r="A54" s="1">
        <v>5053</v>
      </c>
      <c r="B54" s="3" t="s">
        <v>126</v>
      </c>
      <c r="C54" s="3" t="s">
        <v>70</v>
      </c>
      <c r="D54" s="3" t="s">
        <v>16</v>
      </c>
      <c r="E54" s="1">
        <v>83991</v>
      </c>
      <c r="F54" s="2" t="s">
        <v>127</v>
      </c>
      <c r="G54" s="3" t="s">
        <v>13</v>
      </c>
      <c r="H54" s="1">
        <v>34</v>
      </c>
      <c r="I54" s="1">
        <v>2</v>
      </c>
      <c r="J54"/>
      <c r="K54"/>
      <c r="L54"/>
    </row>
    <row r="55" spans="1:12" x14ac:dyDescent="0.3">
      <c r="A55" s="1">
        <v>5054</v>
      </c>
      <c r="B55" s="3" t="s">
        <v>128</v>
      </c>
      <c r="C55" s="3" t="s">
        <v>63</v>
      </c>
      <c r="D55" s="3" t="s">
        <v>27</v>
      </c>
      <c r="E55" s="1">
        <v>106155</v>
      </c>
      <c r="F55" s="2" t="s">
        <v>129</v>
      </c>
      <c r="G55" s="3" t="s">
        <v>13</v>
      </c>
      <c r="H55" s="1">
        <v>49</v>
      </c>
      <c r="I55" s="1">
        <v>1</v>
      </c>
      <c r="J55"/>
      <c r="K55"/>
      <c r="L55"/>
    </row>
    <row r="56" spans="1:12" x14ac:dyDescent="0.3">
      <c r="A56" s="1">
        <v>5055</v>
      </c>
      <c r="B56" s="3" t="s">
        <v>130</v>
      </c>
      <c r="C56" s="3" t="s">
        <v>35</v>
      </c>
      <c r="D56" s="3" t="s">
        <v>20</v>
      </c>
      <c r="E56" s="1">
        <v>93438</v>
      </c>
      <c r="F56" s="2" t="s">
        <v>131</v>
      </c>
      <c r="G56" s="3" t="s">
        <v>24</v>
      </c>
      <c r="H56" s="1">
        <v>30</v>
      </c>
      <c r="I56" s="1">
        <v>1</v>
      </c>
      <c r="J56"/>
      <c r="K56"/>
      <c r="L56"/>
    </row>
    <row r="57" spans="1:12" x14ac:dyDescent="0.3">
      <c r="A57" s="1">
        <v>5056</v>
      </c>
      <c r="B57" s="3" t="s">
        <v>132</v>
      </c>
      <c r="C57" s="3" t="s">
        <v>70</v>
      </c>
      <c r="D57" s="3" t="s">
        <v>52</v>
      </c>
      <c r="E57" s="1">
        <v>38145</v>
      </c>
      <c r="F57" s="2" t="s">
        <v>133</v>
      </c>
      <c r="G57" s="3" t="s">
        <v>24</v>
      </c>
      <c r="H57" s="1">
        <v>31</v>
      </c>
      <c r="I57" s="1">
        <v>4</v>
      </c>
      <c r="J57"/>
      <c r="K57"/>
      <c r="L57"/>
    </row>
    <row r="58" spans="1:12" x14ac:dyDescent="0.3">
      <c r="A58" s="1">
        <v>5057</v>
      </c>
      <c r="B58" s="3" t="s">
        <v>134</v>
      </c>
      <c r="C58" s="3" t="s">
        <v>44</v>
      </c>
      <c r="D58" s="3" t="s">
        <v>16</v>
      </c>
      <c r="E58" s="1">
        <v>61744</v>
      </c>
      <c r="F58" s="2" t="s">
        <v>135</v>
      </c>
      <c r="G58" s="3" t="s">
        <v>24</v>
      </c>
      <c r="H58" s="1">
        <v>42</v>
      </c>
      <c r="I58" s="1">
        <v>5</v>
      </c>
      <c r="J58"/>
      <c r="K58"/>
      <c r="L58"/>
    </row>
    <row r="59" spans="1:12" x14ac:dyDescent="0.3">
      <c r="A59" s="1">
        <v>5058</v>
      </c>
      <c r="B59" s="3" t="s">
        <v>136</v>
      </c>
      <c r="C59" s="3" t="s">
        <v>79</v>
      </c>
      <c r="D59" s="3" t="s">
        <v>87</v>
      </c>
      <c r="E59" s="1">
        <v>111367</v>
      </c>
      <c r="F59" s="2" t="s">
        <v>137</v>
      </c>
      <c r="G59" s="3" t="s">
        <v>24</v>
      </c>
      <c r="H59" s="1">
        <v>23</v>
      </c>
      <c r="I59" s="1">
        <v>1</v>
      </c>
      <c r="J59"/>
      <c r="K59"/>
      <c r="L59"/>
    </row>
    <row r="60" spans="1:12" x14ac:dyDescent="0.3">
      <c r="A60" s="1">
        <v>5059</v>
      </c>
      <c r="B60" s="3" t="s">
        <v>138</v>
      </c>
      <c r="C60" s="3" t="s">
        <v>44</v>
      </c>
      <c r="D60" s="3" t="s">
        <v>49</v>
      </c>
      <c r="E60" s="1">
        <v>122027</v>
      </c>
      <c r="F60" s="2" t="s">
        <v>139</v>
      </c>
      <c r="G60" s="3" t="s">
        <v>13</v>
      </c>
      <c r="H60" s="1">
        <v>23</v>
      </c>
      <c r="I60" s="1">
        <v>3</v>
      </c>
      <c r="J60"/>
      <c r="K60"/>
      <c r="L60"/>
    </row>
    <row r="61" spans="1:12" x14ac:dyDescent="0.3">
      <c r="A61" s="1">
        <v>5060</v>
      </c>
      <c r="B61" s="3" t="s">
        <v>140</v>
      </c>
      <c r="C61" s="3" t="s">
        <v>10</v>
      </c>
      <c r="D61" s="3" t="s">
        <v>61</v>
      </c>
      <c r="E61" s="1">
        <v>59880</v>
      </c>
      <c r="F61" s="2" t="s">
        <v>141</v>
      </c>
      <c r="G61" s="3" t="s">
        <v>13</v>
      </c>
      <c r="H61" s="1">
        <v>39</v>
      </c>
      <c r="I61" s="1">
        <v>4</v>
      </c>
      <c r="J61"/>
      <c r="K61"/>
      <c r="L61"/>
    </row>
    <row r="62" spans="1:12" x14ac:dyDescent="0.3">
      <c r="A62" s="1">
        <v>5061</v>
      </c>
      <c r="B62" s="3" t="s">
        <v>142</v>
      </c>
      <c r="C62" s="3" t="s">
        <v>35</v>
      </c>
      <c r="D62" s="3" t="s">
        <v>16</v>
      </c>
      <c r="E62" s="1">
        <v>128033</v>
      </c>
      <c r="F62" s="2" t="s">
        <v>143</v>
      </c>
      <c r="G62" s="3" t="s">
        <v>24</v>
      </c>
      <c r="H62" s="1">
        <v>52</v>
      </c>
      <c r="I62" s="1">
        <v>5</v>
      </c>
      <c r="J62"/>
      <c r="K62"/>
      <c r="L62"/>
    </row>
    <row r="63" spans="1:12" x14ac:dyDescent="0.3">
      <c r="A63" s="1">
        <v>5062</v>
      </c>
      <c r="B63" s="3" t="s">
        <v>1544</v>
      </c>
      <c r="C63" s="3" t="s">
        <v>26</v>
      </c>
      <c r="D63" s="3" t="s">
        <v>36</v>
      </c>
      <c r="E63" s="1">
        <v>102355</v>
      </c>
      <c r="F63" s="2" t="s">
        <v>144</v>
      </c>
      <c r="G63" s="3" t="s">
        <v>13</v>
      </c>
      <c r="H63" s="1">
        <v>28</v>
      </c>
      <c r="I63" s="1">
        <v>4</v>
      </c>
      <c r="J63"/>
      <c r="K63"/>
      <c r="L63"/>
    </row>
    <row r="64" spans="1:12" x14ac:dyDescent="0.3">
      <c r="A64" s="1">
        <v>5063</v>
      </c>
      <c r="B64" s="3" t="s">
        <v>145</v>
      </c>
      <c r="C64" s="3" t="s">
        <v>39</v>
      </c>
      <c r="D64" s="3" t="s">
        <v>11</v>
      </c>
      <c r="E64" s="1">
        <v>57846</v>
      </c>
      <c r="F64" s="2" t="s">
        <v>146</v>
      </c>
      <c r="G64" s="3" t="s">
        <v>24</v>
      </c>
      <c r="H64" s="1">
        <v>29</v>
      </c>
      <c r="I64" s="1">
        <v>2</v>
      </c>
      <c r="J64"/>
      <c r="K64"/>
      <c r="L64"/>
    </row>
    <row r="65" spans="1:12" x14ac:dyDescent="0.3">
      <c r="A65" s="1">
        <v>5064</v>
      </c>
      <c r="B65" s="3" t="s">
        <v>147</v>
      </c>
      <c r="C65" s="3" t="s">
        <v>10</v>
      </c>
      <c r="D65" s="3" t="s">
        <v>16</v>
      </c>
      <c r="E65" s="1">
        <v>82101</v>
      </c>
      <c r="F65" s="2" t="s">
        <v>42</v>
      </c>
      <c r="G65" s="3" t="s">
        <v>13</v>
      </c>
      <c r="H65" s="1">
        <v>45</v>
      </c>
      <c r="I65" s="1">
        <v>5</v>
      </c>
      <c r="J65"/>
      <c r="K65"/>
      <c r="L65"/>
    </row>
    <row r="66" spans="1:12" x14ac:dyDescent="0.3">
      <c r="A66" s="1">
        <v>5065</v>
      </c>
      <c r="B66" s="3" t="s">
        <v>148</v>
      </c>
      <c r="C66" s="3" t="s">
        <v>70</v>
      </c>
      <c r="D66" s="3" t="s">
        <v>30</v>
      </c>
      <c r="E66" s="1">
        <v>130153</v>
      </c>
      <c r="F66" s="2" t="s">
        <v>149</v>
      </c>
      <c r="G66" s="3" t="s">
        <v>1534</v>
      </c>
      <c r="H66" s="1">
        <v>34</v>
      </c>
      <c r="I66" s="1">
        <v>4</v>
      </c>
      <c r="J66"/>
      <c r="K66"/>
      <c r="L66"/>
    </row>
    <row r="67" spans="1:12" x14ac:dyDescent="0.3">
      <c r="A67" s="1">
        <v>5066</v>
      </c>
      <c r="B67" s="3" t="s">
        <v>58</v>
      </c>
      <c r="C67" s="3" t="s">
        <v>63</v>
      </c>
      <c r="D67" s="3" t="s">
        <v>16</v>
      </c>
      <c r="E67" s="1">
        <v>91296</v>
      </c>
      <c r="F67" s="2" t="s">
        <v>150</v>
      </c>
      <c r="G67" s="3" t="s">
        <v>1534</v>
      </c>
      <c r="H67" s="1">
        <v>44</v>
      </c>
      <c r="I67" s="1">
        <v>2</v>
      </c>
      <c r="J67"/>
      <c r="K67"/>
      <c r="L67"/>
    </row>
    <row r="68" spans="1:12" x14ac:dyDescent="0.3">
      <c r="A68" s="1">
        <v>5067</v>
      </c>
      <c r="B68" s="3" t="s">
        <v>151</v>
      </c>
      <c r="C68" s="3" t="s">
        <v>39</v>
      </c>
      <c r="D68" s="3" t="s">
        <v>11</v>
      </c>
      <c r="E68" s="1">
        <v>87520</v>
      </c>
      <c r="F68" s="2" t="s">
        <v>152</v>
      </c>
      <c r="G68" s="3" t="s">
        <v>13</v>
      </c>
      <c r="H68" s="1">
        <v>26</v>
      </c>
      <c r="I68" s="1">
        <v>2</v>
      </c>
      <c r="J68"/>
      <c r="K68"/>
      <c r="L68"/>
    </row>
    <row r="69" spans="1:12" x14ac:dyDescent="0.3">
      <c r="A69" s="1">
        <v>5068</v>
      </c>
      <c r="B69" s="3" t="s">
        <v>153</v>
      </c>
      <c r="C69" s="3" t="s">
        <v>39</v>
      </c>
      <c r="D69" s="3" t="s">
        <v>61</v>
      </c>
      <c r="E69" s="1">
        <v>137519</v>
      </c>
      <c r="F69" s="2" t="s">
        <v>154</v>
      </c>
      <c r="G69" s="3" t="s">
        <v>24</v>
      </c>
      <c r="H69" s="1">
        <v>35</v>
      </c>
      <c r="I69" s="1">
        <v>4</v>
      </c>
      <c r="J69"/>
      <c r="K69"/>
      <c r="L69"/>
    </row>
    <row r="70" spans="1:12" x14ac:dyDescent="0.3">
      <c r="A70" s="1">
        <v>5069</v>
      </c>
      <c r="B70" s="3" t="s">
        <v>155</v>
      </c>
      <c r="C70" s="3" t="s">
        <v>10</v>
      </c>
      <c r="D70" s="3" t="s">
        <v>52</v>
      </c>
      <c r="E70" s="1">
        <v>61316</v>
      </c>
      <c r="F70" s="2" t="s">
        <v>156</v>
      </c>
      <c r="G70" s="3" t="s">
        <v>13</v>
      </c>
      <c r="H70" s="1">
        <v>39</v>
      </c>
      <c r="I70" s="1">
        <v>2</v>
      </c>
      <c r="J70"/>
      <c r="K70"/>
      <c r="L70"/>
    </row>
    <row r="71" spans="1:12" x14ac:dyDescent="0.3">
      <c r="A71" s="1">
        <v>5070</v>
      </c>
      <c r="B71" s="3" t="s">
        <v>157</v>
      </c>
      <c r="C71" s="3" t="s">
        <v>26</v>
      </c>
      <c r="D71" s="3" t="s">
        <v>87</v>
      </c>
      <c r="E71" s="1">
        <v>39819</v>
      </c>
      <c r="F71" s="2" t="s">
        <v>158</v>
      </c>
      <c r="G71" s="3" t="s">
        <v>13</v>
      </c>
      <c r="H71" s="1">
        <v>39</v>
      </c>
      <c r="I71" s="1">
        <v>2</v>
      </c>
      <c r="J71"/>
      <c r="K71"/>
      <c r="L71"/>
    </row>
    <row r="72" spans="1:12" x14ac:dyDescent="0.3">
      <c r="A72" s="1">
        <v>5071</v>
      </c>
      <c r="B72" s="3" t="s">
        <v>159</v>
      </c>
      <c r="C72" s="3" t="s">
        <v>79</v>
      </c>
      <c r="D72" s="3" t="s">
        <v>30</v>
      </c>
      <c r="E72" s="1">
        <v>97089</v>
      </c>
      <c r="F72" s="2" t="s">
        <v>160</v>
      </c>
      <c r="G72" s="3" t="s">
        <v>13</v>
      </c>
      <c r="H72" s="1">
        <v>39</v>
      </c>
      <c r="I72" s="1">
        <v>1</v>
      </c>
      <c r="J72"/>
      <c r="K72"/>
      <c r="L72"/>
    </row>
    <row r="73" spans="1:12" x14ac:dyDescent="0.3">
      <c r="A73" s="1">
        <v>5072</v>
      </c>
      <c r="B73" s="3" t="s">
        <v>161</v>
      </c>
      <c r="C73" s="3" t="s">
        <v>44</v>
      </c>
      <c r="D73" s="3" t="s">
        <v>36</v>
      </c>
      <c r="E73" s="1">
        <v>135866</v>
      </c>
      <c r="F73" s="2" t="s">
        <v>162</v>
      </c>
      <c r="G73" s="3" t="s">
        <v>24</v>
      </c>
      <c r="H73" s="1">
        <v>23</v>
      </c>
      <c r="I73" s="1">
        <v>5</v>
      </c>
      <c r="J73"/>
      <c r="K73"/>
      <c r="L73"/>
    </row>
    <row r="74" spans="1:12" x14ac:dyDescent="0.3">
      <c r="A74" s="1">
        <v>5073</v>
      </c>
      <c r="B74" s="3" t="s">
        <v>163</v>
      </c>
      <c r="C74" s="3" t="s">
        <v>26</v>
      </c>
      <c r="D74" s="3" t="s">
        <v>16</v>
      </c>
      <c r="E74" s="1">
        <v>133801</v>
      </c>
      <c r="F74" s="2" t="s">
        <v>164</v>
      </c>
      <c r="G74" s="3" t="s">
        <v>13</v>
      </c>
      <c r="H74" s="1">
        <v>38</v>
      </c>
      <c r="I74" s="1">
        <v>3</v>
      </c>
      <c r="J74"/>
      <c r="K74"/>
      <c r="L74"/>
    </row>
    <row r="75" spans="1:12" x14ac:dyDescent="0.3">
      <c r="A75" s="1">
        <v>5074</v>
      </c>
      <c r="B75" s="3" t="s">
        <v>165</v>
      </c>
      <c r="C75" s="3" t="s">
        <v>44</v>
      </c>
      <c r="D75" s="3" t="s">
        <v>36</v>
      </c>
      <c r="E75" s="1">
        <v>108823</v>
      </c>
      <c r="F75" s="2" t="s">
        <v>166</v>
      </c>
      <c r="G75" s="3" t="s">
        <v>24</v>
      </c>
      <c r="H75" s="1">
        <v>32</v>
      </c>
      <c r="I75" s="1">
        <v>4</v>
      </c>
      <c r="J75"/>
      <c r="K75"/>
      <c r="L75"/>
    </row>
    <row r="76" spans="1:12" x14ac:dyDescent="0.3">
      <c r="A76" s="1">
        <v>5075</v>
      </c>
      <c r="B76" s="3" t="s">
        <v>167</v>
      </c>
      <c r="C76" s="3" t="s">
        <v>63</v>
      </c>
      <c r="D76" s="3" t="s">
        <v>30</v>
      </c>
      <c r="E76" s="1">
        <v>75519</v>
      </c>
      <c r="F76" s="2" t="s">
        <v>168</v>
      </c>
      <c r="G76" s="3" t="s">
        <v>1534</v>
      </c>
      <c r="H76" s="1">
        <v>31</v>
      </c>
      <c r="I76" s="1">
        <v>4</v>
      </c>
      <c r="J76"/>
      <c r="K76"/>
      <c r="L76"/>
    </row>
    <row r="77" spans="1:12" x14ac:dyDescent="0.3">
      <c r="A77" s="1">
        <v>5076</v>
      </c>
      <c r="B77" s="3" t="s">
        <v>169</v>
      </c>
      <c r="C77" s="3" t="s">
        <v>70</v>
      </c>
      <c r="D77" s="3" t="s">
        <v>36</v>
      </c>
      <c r="E77" s="1">
        <v>147104</v>
      </c>
      <c r="F77" s="2" t="s">
        <v>170</v>
      </c>
      <c r="G77" s="3" t="s">
        <v>24</v>
      </c>
      <c r="H77" s="1">
        <v>31</v>
      </c>
      <c r="I77" s="1">
        <v>5</v>
      </c>
      <c r="J77"/>
      <c r="K77"/>
      <c r="L77"/>
    </row>
    <row r="78" spans="1:12" x14ac:dyDescent="0.3">
      <c r="A78" s="1">
        <v>5077</v>
      </c>
      <c r="B78" s="3" t="s">
        <v>1502</v>
      </c>
      <c r="C78" s="3" t="s">
        <v>79</v>
      </c>
      <c r="D78" s="3" t="s">
        <v>36</v>
      </c>
      <c r="E78" s="1">
        <v>114022</v>
      </c>
      <c r="F78" s="2" t="s">
        <v>171</v>
      </c>
      <c r="G78" s="3" t="s">
        <v>24</v>
      </c>
      <c r="H78" s="1">
        <v>22</v>
      </c>
      <c r="I78" s="1">
        <v>1</v>
      </c>
      <c r="J78"/>
      <c r="K78"/>
      <c r="L78"/>
    </row>
    <row r="79" spans="1:12" x14ac:dyDescent="0.3">
      <c r="A79" s="1">
        <v>5078</v>
      </c>
      <c r="B79" s="3" t="s">
        <v>172</v>
      </c>
      <c r="C79" s="3" t="s">
        <v>19</v>
      </c>
      <c r="D79" s="3" t="s">
        <v>52</v>
      </c>
      <c r="E79" s="1">
        <v>50917</v>
      </c>
      <c r="F79" s="2" t="s">
        <v>173</v>
      </c>
      <c r="G79" s="3" t="s">
        <v>13</v>
      </c>
      <c r="H79" s="1">
        <v>40</v>
      </c>
      <c r="I79" s="1">
        <v>4</v>
      </c>
      <c r="J79"/>
      <c r="K79"/>
      <c r="L79"/>
    </row>
    <row r="80" spans="1:12" x14ac:dyDescent="0.3">
      <c r="A80" s="1">
        <v>5079</v>
      </c>
      <c r="B80" s="3" t="s">
        <v>174</v>
      </c>
      <c r="C80" s="3" t="s">
        <v>19</v>
      </c>
      <c r="D80" s="3" t="s">
        <v>30</v>
      </c>
      <c r="E80" s="1">
        <v>87520</v>
      </c>
      <c r="F80" s="2" t="s">
        <v>175</v>
      </c>
      <c r="G80" s="3" t="s">
        <v>24</v>
      </c>
      <c r="H80" s="1">
        <v>55</v>
      </c>
      <c r="I80" s="1">
        <v>3</v>
      </c>
      <c r="J80"/>
      <c r="K80"/>
      <c r="L80"/>
    </row>
    <row r="81" spans="1:12" x14ac:dyDescent="0.3">
      <c r="A81" s="1">
        <v>5080</v>
      </c>
      <c r="B81" s="3" t="s">
        <v>176</v>
      </c>
      <c r="C81" s="3" t="s">
        <v>79</v>
      </c>
      <c r="D81" s="3" t="s">
        <v>36</v>
      </c>
      <c r="E81" s="1">
        <v>87520</v>
      </c>
      <c r="F81" s="2" t="s">
        <v>177</v>
      </c>
      <c r="G81" s="3" t="s">
        <v>13</v>
      </c>
      <c r="H81" s="1">
        <v>43</v>
      </c>
      <c r="I81" s="1">
        <v>3</v>
      </c>
      <c r="J81"/>
      <c r="K81"/>
      <c r="L81"/>
    </row>
    <row r="82" spans="1:12" x14ac:dyDescent="0.3">
      <c r="A82" s="1">
        <v>5081</v>
      </c>
      <c r="B82" s="3" t="s">
        <v>1545</v>
      </c>
      <c r="C82" s="3" t="s">
        <v>15</v>
      </c>
      <c r="D82" s="3" t="s">
        <v>49</v>
      </c>
      <c r="E82" s="1">
        <v>66902</v>
      </c>
      <c r="F82" s="2" t="s">
        <v>178</v>
      </c>
      <c r="G82" s="3" t="s">
        <v>24</v>
      </c>
      <c r="H82" s="1">
        <v>28</v>
      </c>
      <c r="I82" s="1">
        <v>1</v>
      </c>
      <c r="J82"/>
      <c r="K82"/>
      <c r="L82"/>
    </row>
    <row r="83" spans="1:12" x14ac:dyDescent="0.3">
      <c r="A83" s="1">
        <v>5082</v>
      </c>
      <c r="B83" s="3" t="s">
        <v>179</v>
      </c>
      <c r="C83" s="3" t="s">
        <v>63</v>
      </c>
      <c r="D83" s="3" t="s">
        <v>36</v>
      </c>
      <c r="E83" s="1">
        <v>51141</v>
      </c>
      <c r="F83" s="2" t="s">
        <v>180</v>
      </c>
      <c r="G83" s="3" t="s">
        <v>13</v>
      </c>
      <c r="H83" s="1">
        <v>41</v>
      </c>
      <c r="I83" s="1">
        <v>3</v>
      </c>
      <c r="J83"/>
      <c r="K83"/>
      <c r="L83"/>
    </row>
    <row r="84" spans="1:12" x14ac:dyDescent="0.3">
      <c r="A84" s="1">
        <v>5083</v>
      </c>
      <c r="B84" s="3" t="s">
        <v>181</v>
      </c>
      <c r="C84" s="3" t="s">
        <v>10</v>
      </c>
      <c r="D84" s="3" t="s">
        <v>52</v>
      </c>
      <c r="E84" s="1">
        <v>96310</v>
      </c>
      <c r="F84" s="2" t="s">
        <v>182</v>
      </c>
      <c r="G84" s="3" t="s">
        <v>24</v>
      </c>
      <c r="H84" s="1">
        <v>23</v>
      </c>
      <c r="I84" s="1">
        <v>4</v>
      </c>
      <c r="J84"/>
      <c r="K84"/>
      <c r="L84"/>
    </row>
    <row r="85" spans="1:12" x14ac:dyDescent="0.3">
      <c r="A85" s="1">
        <v>5084</v>
      </c>
      <c r="B85" s="3" t="s">
        <v>183</v>
      </c>
      <c r="C85" s="3" t="s">
        <v>19</v>
      </c>
      <c r="D85" s="3" t="s">
        <v>27</v>
      </c>
      <c r="E85" s="1">
        <v>109441</v>
      </c>
      <c r="F85" s="2" t="s">
        <v>184</v>
      </c>
      <c r="G85" s="3" t="s">
        <v>24</v>
      </c>
      <c r="H85" s="1">
        <v>34</v>
      </c>
      <c r="I85" s="1">
        <v>3</v>
      </c>
      <c r="J85"/>
      <c r="K85"/>
      <c r="L85"/>
    </row>
    <row r="86" spans="1:12" x14ac:dyDescent="0.3">
      <c r="A86" s="1">
        <v>5085</v>
      </c>
      <c r="B86" s="3" t="s">
        <v>185</v>
      </c>
      <c r="C86" s="3" t="s">
        <v>19</v>
      </c>
      <c r="D86" s="3" t="s">
        <v>16</v>
      </c>
      <c r="E86" s="1">
        <v>135554</v>
      </c>
      <c r="F86" s="2" t="s">
        <v>186</v>
      </c>
      <c r="G86" s="3" t="s">
        <v>13</v>
      </c>
      <c r="H86" s="1">
        <v>39</v>
      </c>
      <c r="I86" s="1">
        <v>4</v>
      </c>
      <c r="J86"/>
      <c r="K86"/>
      <c r="L86"/>
    </row>
    <row r="87" spans="1:12" x14ac:dyDescent="0.3">
      <c r="A87" s="1">
        <v>5086</v>
      </c>
      <c r="B87" s="3" t="s">
        <v>187</v>
      </c>
      <c r="C87" s="3" t="s">
        <v>26</v>
      </c>
      <c r="D87" s="3" t="s">
        <v>49</v>
      </c>
      <c r="E87" s="1">
        <v>63360</v>
      </c>
      <c r="F87" s="2" t="s">
        <v>188</v>
      </c>
      <c r="G87" s="3" t="s">
        <v>24</v>
      </c>
      <c r="H87" s="1">
        <v>48</v>
      </c>
      <c r="I87" s="1">
        <v>4</v>
      </c>
      <c r="J87"/>
      <c r="K87"/>
      <c r="L87"/>
    </row>
    <row r="88" spans="1:12" x14ac:dyDescent="0.3">
      <c r="A88" s="1">
        <v>5087</v>
      </c>
      <c r="B88" s="3" t="s">
        <v>189</v>
      </c>
      <c r="C88" s="3" t="s">
        <v>44</v>
      </c>
      <c r="D88" s="3" t="s">
        <v>20</v>
      </c>
      <c r="E88" s="1">
        <v>33170</v>
      </c>
      <c r="F88" s="2" t="s">
        <v>190</v>
      </c>
      <c r="G88" s="3" t="s">
        <v>24</v>
      </c>
      <c r="H88" s="1">
        <v>35</v>
      </c>
      <c r="I88" s="1">
        <v>3</v>
      </c>
      <c r="J88"/>
      <c r="K88"/>
      <c r="L88"/>
    </row>
    <row r="89" spans="1:12" x14ac:dyDescent="0.3">
      <c r="A89" s="1">
        <v>5088</v>
      </c>
      <c r="B89" s="3" t="s">
        <v>191</v>
      </c>
      <c r="C89" s="3" t="s">
        <v>19</v>
      </c>
      <c r="D89" s="3" t="s">
        <v>30</v>
      </c>
      <c r="E89" s="1">
        <v>41397</v>
      </c>
      <c r="F89" s="2" t="s">
        <v>192</v>
      </c>
      <c r="G89" s="3" t="s">
        <v>24</v>
      </c>
      <c r="H89" s="1">
        <v>28</v>
      </c>
      <c r="I89" s="1">
        <v>2</v>
      </c>
      <c r="J89"/>
      <c r="K89"/>
      <c r="L89"/>
    </row>
    <row r="90" spans="1:12" x14ac:dyDescent="0.3">
      <c r="A90" s="1">
        <v>5089</v>
      </c>
      <c r="B90" s="3" t="s">
        <v>193</v>
      </c>
      <c r="C90" s="3" t="s">
        <v>35</v>
      </c>
      <c r="D90" s="3" t="s">
        <v>49</v>
      </c>
      <c r="E90" s="1">
        <v>43172</v>
      </c>
      <c r="F90" s="2" t="s">
        <v>194</v>
      </c>
      <c r="G90" s="3" t="s">
        <v>24</v>
      </c>
      <c r="H90" s="1">
        <v>34</v>
      </c>
      <c r="I90" s="1">
        <v>3</v>
      </c>
      <c r="J90"/>
      <c r="K90"/>
      <c r="L90"/>
    </row>
    <row r="91" spans="1:12" x14ac:dyDescent="0.3">
      <c r="A91" s="1">
        <v>5090</v>
      </c>
      <c r="B91" s="3" t="s">
        <v>1546</v>
      </c>
      <c r="C91" s="3" t="s">
        <v>63</v>
      </c>
      <c r="D91" s="3" t="s">
        <v>61</v>
      </c>
      <c r="E91" s="1">
        <v>55413</v>
      </c>
      <c r="F91" s="2" t="s">
        <v>195</v>
      </c>
      <c r="G91" s="3" t="s">
        <v>13</v>
      </c>
      <c r="H91" s="1">
        <v>44</v>
      </c>
      <c r="I91" s="1">
        <v>5</v>
      </c>
      <c r="J91"/>
      <c r="K91"/>
      <c r="L91"/>
    </row>
    <row r="92" spans="1:12" x14ac:dyDescent="0.3">
      <c r="A92" s="1">
        <v>5091</v>
      </c>
      <c r="B92" s="3" t="s">
        <v>1444</v>
      </c>
      <c r="C92" s="3" t="s">
        <v>10</v>
      </c>
      <c r="D92" s="3" t="s">
        <v>87</v>
      </c>
      <c r="E92" s="1">
        <v>120297</v>
      </c>
      <c r="F92" s="2" t="s">
        <v>196</v>
      </c>
      <c r="G92" s="3" t="s">
        <v>24</v>
      </c>
      <c r="H92" s="1">
        <v>51</v>
      </c>
      <c r="I92" s="1">
        <v>4</v>
      </c>
      <c r="J92"/>
      <c r="K92"/>
      <c r="L92"/>
    </row>
    <row r="93" spans="1:12" x14ac:dyDescent="0.3">
      <c r="A93" s="1">
        <v>5092</v>
      </c>
      <c r="B93" s="3" t="s">
        <v>102</v>
      </c>
      <c r="C93" s="3" t="s">
        <v>79</v>
      </c>
      <c r="D93" s="3" t="s">
        <v>52</v>
      </c>
      <c r="E93" s="1">
        <v>118004</v>
      </c>
      <c r="F93" s="2" t="s">
        <v>197</v>
      </c>
      <c r="G93" s="3" t="s">
        <v>13</v>
      </c>
      <c r="H93" s="1">
        <v>31</v>
      </c>
      <c r="I93" s="1">
        <v>4</v>
      </c>
      <c r="J93"/>
      <c r="K93"/>
      <c r="L93"/>
    </row>
    <row r="94" spans="1:12" x14ac:dyDescent="0.3">
      <c r="A94" s="1">
        <v>5093</v>
      </c>
      <c r="B94" s="3" t="s">
        <v>136</v>
      </c>
      <c r="C94" s="3" t="s">
        <v>79</v>
      </c>
      <c r="D94" s="3" t="s">
        <v>27</v>
      </c>
      <c r="E94" s="1">
        <v>31560</v>
      </c>
      <c r="F94" s="2" t="s">
        <v>198</v>
      </c>
      <c r="G94" s="3" t="s">
        <v>24</v>
      </c>
      <c r="H94" s="1">
        <v>37</v>
      </c>
      <c r="I94" s="1">
        <v>3</v>
      </c>
      <c r="J94"/>
      <c r="K94"/>
      <c r="L94"/>
    </row>
    <row r="95" spans="1:12" x14ac:dyDescent="0.3">
      <c r="A95" s="1">
        <v>5094</v>
      </c>
      <c r="B95" s="3" t="s">
        <v>1547</v>
      </c>
      <c r="C95" s="3" t="s">
        <v>79</v>
      </c>
      <c r="D95" s="3" t="s">
        <v>36</v>
      </c>
      <c r="E95" s="1">
        <v>66563</v>
      </c>
      <c r="F95" s="2" t="s">
        <v>199</v>
      </c>
      <c r="G95" s="3" t="s">
        <v>24</v>
      </c>
      <c r="H95" s="1">
        <v>45</v>
      </c>
      <c r="I95" s="1">
        <v>4</v>
      </c>
      <c r="J95"/>
      <c r="K95"/>
      <c r="L95"/>
    </row>
    <row r="96" spans="1:12" x14ac:dyDescent="0.3">
      <c r="A96" s="1">
        <v>5095</v>
      </c>
      <c r="B96" s="3" t="s">
        <v>200</v>
      </c>
      <c r="C96" s="3" t="s">
        <v>39</v>
      </c>
      <c r="D96" s="3" t="s">
        <v>87</v>
      </c>
      <c r="E96" s="1">
        <v>104388</v>
      </c>
      <c r="F96" s="2" t="s">
        <v>201</v>
      </c>
      <c r="G96" s="3" t="s">
        <v>13</v>
      </c>
      <c r="H96" s="1">
        <v>21</v>
      </c>
      <c r="I96" s="1">
        <v>1</v>
      </c>
      <c r="J96"/>
      <c r="K96"/>
      <c r="L96"/>
    </row>
    <row r="97" spans="1:12" x14ac:dyDescent="0.3">
      <c r="A97" s="1">
        <v>5096</v>
      </c>
      <c r="B97" s="3" t="s">
        <v>202</v>
      </c>
      <c r="C97" s="3" t="s">
        <v>19</v>
      </c>
      <c r="D97" s="3" t="s">
        <v>11</v>
      </c>
      <c r="E97" s="1">
        <v>105657</v>
      </c>
      <c r="F97" s="2" t="s">
        <v>203</v>
      </c>
      <c r="G97" s="3" t="s">
        <v>24</v>
      </c>
      <c r="H97" s="1">
        <v>37</v>
      </c>
      <c r="I97" s="1">
        <v>5</v>
      </c>
      <c r="J97"/>
      <c r="K97"/>
      <c r="L97"/>
    </row>
    <row r="98" spans="1:12" x14ac:dyDescent="0.3">
      <c r="A98" s="1">
        <v>5097</v>
      </c>
      <c r="B98" s="3" t="s">
        <v>204</v>
      </c>
      <c r="C98" s="3" t="s">
        <v>26</v>
      </c>
      <c r="D98" s="3" t="s">
        <v>30</v>
      </c>
      <c r="E98" s="1">
        <v>148224</v>
      </c>
      <c r="F98" s="2" t="s">
        <v>205</v>
      </c>
      <c r="G98" s="3" t="s">
        <v>24</v>
      </c>
      <c r="H98" s="1">
        <v>49</v>
      </c>
      <c r="I98" s="1">
        <v>5</v>
      </c>
      <c r="J98"/>
      <c r="K98"/>
      <c r="L98"/>
    </row>
    <row r="99" spans="1:12" x14ac:dyDescent="0.3">
      <c r="A99" s="1">
        <v>5098</v>
      </c>
      <c r="B99" s="3" t="s">
        <v>206</v>
      </c>
      <c r="C99" s="3" t="s">
        <v>44</v>
      </c>
      <c r="D99" s="3" t="s">
        <v>16</v>
      </c>
      <c r="E99" s="1">
        <v>97974</v>
      </c>
      <c r="F99" s="2" t="s">
        <v>207</v>
      </c>
      <c r="G99" s="3" t="s">
        <v>1534</v>
      </c>
      <c r="H99" s="1">
        <v>25</v>
      </c>
      <c r="I99" s="1">
        <v>5</v>
      </c>
      <c r="J99"/>
      <c r="K99"/>
      <c r="L99"/>
    </row>
    <row r="100" spans="1:12" x14ac:dyDescent="0.3">
      <c r="A100" s="1">
        <v>5099</v>
      </c>
      <c r="B100" s="3" t="s">
        <v>379</v>
      </c>
      <c r="C100" s="3" t="s">
        <v>35</v>
      </c>
      <c r="D100" s="3" t="s">
        <v>27</v>
      </c>
      <c r="E100" s="1">
        <v>106493</v>
      </c>
      <c r="F100" s="2" t="s">
        <v>208</v>
      </c>
      <c r="G100" s="3" t="s">
        <v>13</v>
      </c>
      <c r="H100" s="1">
        <v>39</v>
      </c>
      <c r="I100" s="1">
        <v>4</v>
      </c>
      <c r="J100"/>
      <c r="K100"/>
      <c r="L100"/>
    </row>
    <row r="101" spans="1:12" x14ac:dyDescent="0.3">
      <c r="A101" s="1">
        <v>5100</v>
      </c>
      <c r="B101" s="3" t="s">
        <v>209</v>
      </c>
      <c r="C101" s="3" t="s">
        <v>19</v>
      </c>
      <c r="D101" s="3" t="s">
        <v>20</v>
      </c>
      <c r="E101" s="1">
        <v>142082</v>
      </c>
      <c r="F101" s="2" t="s">
        <v>210</v>
      </c>
      <c r="G101" s="3" t="s">
        <v>13</v>
      </c>
      <c r="H101" s="1">
        <v>33</v>
      </c>
      <c r="I101" s="1">
        <v>2</v>
      </c>
      <c r="J101"/>
      <c r="K101"/>
      <c r="L101"/>
    </row>
    <row r="102" spans="1:12" x14ac:dyDescent="0.3">
      <c r="A102" s="1">
        <v>5101</v>
      </c>
      <c r="B102" s="3" t="s">
        <v>211</v>
      </c>
      <c r="C102" s="3" t="s">
        <v>79</v>
      </c>
      <c r="D102" s="3" t="s">
        <v>27</v>
      </c>
      <c r="E102" s="1">
        <v>68212</v>
      </c>
      <c r="F102" s="2" t="s">
        <v>212</v>
      </c>
      <c r="G102" s="3" t="s">
        <v>13</v>
      </c>
      <c r="H102" s="1">
        <v>27</v>
      </c>
      <c r="I102" s="1">
        <v>5</v>
      </c>
      <c r="J102"/>
      <c r="K102"/>
      <c r="L102"/>
    </row>
    <row r="103" spans="1:12" x14ac:dyDescent="0.3">
      <c r="A103" s="1">
        <v>5102</v>
      </c>
      <c r="B103" s="3" t="s">
        <v>213</v>
      </c>
      <c r="C103" s="3" t="s">
        <v>63</v>
      </c>
      <c r="D103" s="3" t="s">
        <v>61</v>
      </c>
      <c r="E103" s="1">
        <v>71399</v>
      </c>
      <c r="F103" s="2" t="s">
        <v>214</v>
      </c>
      <c r="G103" s="3" t="s">
        <v>13</v>
      </c>
      <c r="H103" s="1">
        <v>54</v>
      </c>
      <c r="I103" s="1">
        <v>4</v>
      </c>
      <c r="J103"/>
      <c r="K103"/>
      <c r="L103"/>
    </row>
    <row r="104" spans="1:12" x14ac:dyDescent="0.3">
      <c r="A104" s="1">
        <v>5103</v>
      </c>
      <c r="B104" s="3" t="s">
        <v>215</v>
      </c>
      <c r="C104" s="3" t="s">
        <v>19</v>
      </c>
      <c r="D104" s="3" t="s">
        <v>11</v>
      </c>
      <c r="E104" s="1">
        <v>88250</v>
      </c>
      <c r="F104" s="2" t="s">
        <v>71</v>
      </c>
      <c r="G104" s="3" t="s">
        <v>24</v>
      </c>
      <c r="H104" s="1">
        <v>45</v>
      </c>
      <c r="I104" s="1">
        <v>2</v>
      </c>
      <c r="J104"/>
      <c r="K104"/>
      <c r="L104"/>
    </row>
    <row r="105" spans="1:12" x14ac:dyDescent="0.3">
      <c r="A105" s="1">
        <v>5104</v>
      </c>
      <c r="B105" s="3" t="s">
        <v>216</v>
      </c>
      <c r="C105" s="3" t="s">
        <v>35</v>
      </c>
      <c r="D105" s="3" t="s">
        <v>49</v>
      </c>
      <c r="E105" s="1">
        <v>100908</v>
      </c>
      <c r="F105" s="2" t="s">
        <v>217</v>
      </c>
      <c r="G105" s="3" t="s">
        <v>13</v>
      </c>
      <c r="H105" s="1">
        <v>45</v>
      </c>
      <c r="I105" s="1">
        <v>2</v>
      </c>
      <c r="J105"/>
      <c r="K105"/>
      <c r="L105"/>
    </row>
    <row r="106" spans="1:12" x14ac:dyDescent="0.3">
      <c r="A106" s="1">
        <v>5105</v>
      </c>
      <c r="B106" s="3" t="s">
        <v>218</v>
      </c>
      <c r="C106" s="3" t="s">
        <v>15</v>
      </c>
      <c r="D106" s="3" t="s">
        <v>16</v>
      </c>
      <c r="E106" s="1">
        <v>34128</v>
      </c>
      <c r="F106" s="2" t="s">
        <v>219</v>
      </c>
      <c r="G106" s="3" t="s">
        <v>13</v>
      </c>
      <c r="H106" s="1">
        <v>35</v>
      </c>
      <c r="I106" s="1">
        <v>5</v>
      </c>
      <c r="J106"/>
      <c r="K106"/>
      <c r="L106"/>
    </row>
    <row r="107" spans="1:12" x14ac:dyDescent="0.3">
      <c r="A107" s="1">
        <v>5106</v>
      </c>
      <c r="B107" s="3" t="s">
        <v>220</v>
      </c>
      <c r="C107" s="3" t="s">
        <v>79</v>
      </c>
      <c r="D107" s="3" t="s">
        <v>20</v>
      </c>
      <c r="E107" s="1">
        <v>61177</v>
      </c>
      <c r="F107" s="2" t="s">
        <v>221</v>
      </c>
      <c r="G107" s="3" t="s">
        <v>24</v>
      </c>
      <c r="H107" s="1">
        <v>34</v>
      </c>
      <c r="I107" s="1">
        <v>5</v>
      </c>
      <c r="J107"/>
      <c r="K107"/>
      <c r="L107"/>
    </row>
    <row r="108" spans="1:12" x14ac:dyDescent="0.3">
      <c r="A108" s="1">
        <v>5107</v>
      </c>
      <c r="B108" s="3" t="s">
        <v>74</v>
      </c>
      <c r="C108" s="3" t="s">
        <v>10</v>
      </c>
      <c r="D108" s="3" t="s">
        <v>16</v>
      </c>
      <c r="E108" s="1">
        <v>103967</v>
      </c>
      <c r="F108" s="2" t="s">
        <v>222</v>
      </c>
      <c r="G108" s="3" t="s">
        <v>13</v>
      </c>
      <c r="H108" s="1">
        <v>33</v>
      </c>
      <c r="I108" s="1">
        <v>4</v>
      </c>
      <c r="J108"/>
      <c r="K108"/>
      <c r="L108"/>
    </row>
    <row r="109" spans="1:12" x14ac:dyDescent="0.3">
      <c r="A109" s="1">
        <v>5108</v>
      </c>
      <c r="B109" s="3" t="s">
        <v>223</v>
      </c>
      <c r="C109" s="3" t="s">
        <v>35</v>
      </c>
      <c r="D109" s="3" t="s">
        <v>27</v>
      </c>
      <c r="E109" s="1">
        <v>147426</v>
      </c>
      <c r="F109" s="2" t="s">
        <v>224</v>
      </c>
      <c r="G109" s="3" t="s">
        <v>24</v>
      </c>
      <c r="H109" s="1">
        <v>30</v>
      </c>
      <c r="I109" s="1">
        <v>5</v>
      </c>
      <c r="J109"/>
      <c r="K109"/>
      <c r="L109"/>
    </row>
    <row r="110" spans="1:12" x14ac:dyDescent="0.3">
      <c r="A110" s="1">
        <v>5109</v>
      </c>
      <c r="B110" s="3" t="s">
        <v>225</v>
      </c>
      <c r="C110" s="3" t="s">
        <v>26</v>
      </c>
      <c r="D110" s="3" t="s">
        <v>61</v>
      </c>
      <c r="E110" s="1">
        <v>104512</v>
      </c>
      <c r="F110" s="2" t="s">
        <v>226</v>
      </c>
      <c r="G110" s="3" t="s">
        <v>13</v>
      </c>
      <c r="H110" s="1">
        <v>34</v>
      </c>
      <c r="I110" s="1">
        <v>2</v>
      </c>
      <c r="J110"/>
      <c r="K110"/>
      <c r="L110"/>
    </row>
    <row r="111" spans="1:12" x14ac:dyDescent="0.3">
      <c r="A111" s="1">
        <v>5110</v>
      </c>
      <c r="B111" s="3" t="s">
        <v>227</v>
      </c>
      <c r="C111" s="3" t="s">
        <v>19</v>
      </c>
      <c r="D111" s="3" t="s">
        <v>11</v>
      </c>
      <c r="E111" s="1">
        <v>121469</v>
      </c>
      <c r="F111" s="2" t="s">
        <v>228</v>
      </c>
      <c r="G111" s="3" t="s">
        <v>13</v>
      </c>
      <c r="H111" s="1">
        <v>28</v>
      </c>
      <c r="I111" s="1">
        <v>1</v>
      </c>
      <c r="J111"/>
      <c r="K111"/>
      <c r="L111"/>
    </row>
    <row r="112" spans="1:12" x14ac:dyDescent="0.3">
      <c r="A112" s="1">
        <v>5111</v>
      </c>
      <c r="B112" s="3" t="s">
        <v>229</v>
      </c>
      <c r="C112" s="3" t="s">
        <v>10</v>
      </c>
      <c r="D112" s="3" t="s">
        <v>49</v>
      </c>
      <c r="E112" s="1">
        <v>146090</v>
      </c>
      <c r="F112" s="2" t="s">
        <v>230</v>
      </c>
      <c r="G112" s="3" t="s">
        <v>24</v>
      </c>
      <c r="H112" s="1">
        <v>47</v>
      </c>
      <c r="I112" s="1">
        <v>5</v>
      </c>
      <c r="J112"/>
      <c r="K112"/>
      <c r="L112"/>
    </row>
    <row r="113" spans="1:12" x14ac:dyDescent="0.3">
      <c r="A113" s="1">
        <v>5112</v>
      </c>
      <c r="B113" s="3" t="s">
        <v>231</v>
      </c>
      <c r="C113" s="3" t="s">
        <v>79</v>
      </c>
      <c r="D113" s="3" t="s">
        <v>30</v>
      </c>
      <c r="E113" s="1">
        <v>117971</v>
      </c>
      <c r="F113" s="2" t="s">
        <v>232</v>
      </c>
      <c r="G113" s="3" t="s">
        <v>13</v>
      </c>
      <c r="H113" s="1">
        <v>25</v>
      </c>
      <c r="I113" s="1">
        <v>2</v>
      </c>
      <c r="J113"/>
      <c r="K113"/>
      <c r="L113"/>
    </row>
    <row r="114" spans="1:12" x14ac:dyDescent="0.3">
      <c r="A114" s="1">
        <v>5113</v>
      </c>
      <c r="B114" s="3" t="s">
        <v>233</v>
      </c>
      <c r="C114" s="3" t="s">
        <v>19</v>
      </c>
      <c r="D114" s="3" t="s">
        <v>30</v>
      </c>
      <c r="E114" s="1">
        <v>87520</v>
      </c>
      <c r="F114" s="2" t="s">
        <v>234</v>
      </c>
      <c r="G114" s="3" t="s">
        <v>24</v>
      </c>
      <c r="H114" s="1">
        <v>24</v>
      </c>
      <c r="I114" s="1">
        <v>1</v>
      </c>
      <c r="J114"/>
      <c r="K114"/>
      <c r="L114"/>
    </row>
    <row r="115" spans="1:12" x14ac:dyDescent="0.3">
      <c r="A115" s="1">
        <v>5114</v>
      </c>
      <c r="B115" s="3" t="s">
        <v>235</v>
      </c>
      <c r="C115" s="3" t="s">
        <v>39</v>
      </c>
      <c r="D115" s="3" t="s">
        <v>87</v>
      </c>
      <c r="E115" s="1">
        <v>28650</v>
      </c>
      <c r="F115" s="2" t="s">
        <v>236</v>
      </c>
      <c r="G115" s="3" t="s">
        <v>13</v>
      </c>
      <c r="H115" s="1">
        <v>47</v>
      </c>
      <c r="I115" s="1">
        <v>2</v>
      </c>
      <c r="J115"/>
      <c r="K115"/>
      <c r="L115"/>
    </row>
    <row r="116" spans="1:12" x14ac:dyDescent="0.3">
      <c r="A116" s="1">
        <v>5115</v>
      </c>
      <c r="B116" s="3" t="s">
        <v>237</v>
      </c>
      <c r="C116" s="3" t="s">
        <v>26</v>
      </c>
      <c r="D116" s="3" t="s">
        <v>87</v>
      </c>
      <c r="E116" s="1">
        <v>29891</v>
      </c>
      <c r="F116" s="2" t="s">
        <v>238</v>
      </c>
      <c r="G116" s="3" t="s">
        <v>13</v>
      </c>
      <c r="H116" s="1">
        <v>47</v>
      </c>
      <c r="I116" s="1">
        <v>3</v>
      </c>
      <c r="J116"/>
      <c r="K116"/>
      <c r="L116"/>
    </row>
    <row r="117" spans="1:12" x14ac:dyDescent="0.3">
      <c r="A117" s="1">
        <v>5116</v>
      </c>
      <c r="B117" s="3" t="s">
        <v>239</v>
      </c>
      <c r="C117" s="3" t="s">
        <v>26</v>
      </c>
      <c r="D117" s="3" t="s">
        <v>27</v>
      </c>
      <c r="E117" s="1">
        <v>61488</v>
      </c>
      <c r="F117" s="2" t="s">
        <v>240</v>
      </c>
      <c r="G117" s="3" t="s">
        <v>24</v>
      </c>
      <c r="H117" s="1">
        <v>33</v>
      </c>
      <c r="I117" s="1">
        <v>3</v>
      </c>
      <c r="J117"/>
      <c r="K117"/>
      <c r="L117"/>
    </row>
    <row r="118" spans="1:12" x14ac:dyDescent="0.3">
      <c r="A118" s="1">
        <v>5117</v>
      </c>
      <c r="B118" s="3" t="s">
        <v>241</v>
      </c>
      <c r="C118" s="3" t="s">
        <v>63</v>
      </c>
      <c r="D118" s="3" t="s">
        <v>30</v>
      </c>
      <c r="E118" s="1">
        <v>133026</v>
      </c>
      <c r="F118" s="2" t="s">
        <v>242</v>
      </c>
      <c r="G118" s="3" t="s">
        <v>13</v>
      </c>
      <c r="H118" s="1">
        <v>47</v>
      </c>
      <c r="I118" s="1">
        <v>1</v>
      </c>
      <c r="J118"/>
      <c r="K118"/>
      <c r="L118"/>
    </row>
    <row r="119" spans="1:12" x14ac:dyDescent="0.3">
      <c r="A119" s="1">
        <v>5118</v>
      </c>
      <c r="B119" s="3" t="s">
        <v>243</v>
      </c>
      <c r="C119" s="3" t="s">
        <v>79</v>
      </c>
      <c r="D119" s="3" t="s">
        <v>20</v>
      </c>
      <c r="E119" s="1">
        <v>47626</v>
      </c>
      <c r="F119" s="2" t="s">
        <v>244</v>
      </c>
      <c r="G119" s="3" t="s">
        <v>13</v>
      </c>
      <c r="H119" s="1">
        <v>24</v>
      </c>
      <c r="I119" s="1">
        <v>4</v>
      </c>
      <c r="J119"/>
      <c r="K119"/>
      <c r="L119"/>
    </row>
    <row r="120" spans="1:12" x14ac:dyDescent="0.3">
      <c r="A120" s="1">
        <v>5119</v>
      </c>
      <c r="B120" s="3" t="s">
        <v>1548</v>
      </c>
      <c r="C120" s="3" t="s">
        <v>39</v>
      </c>
      <c r="D120" s="3" t="s">
        <v>20</v>
      </c>
      <c r="E120" s="1">
        <v>87520</v>
      </c>
      <c r="F120" s="2" t="s">
        <v>245</v>
      </c>
      <c r="G120" s="3" t="s">
        <v>13</v>
      </c>
      <c r="H120" s="1">
        <v>28</v>
      </c>
      <c r="I120" s="1">
        <v>1</v>
      </c>
      <c r="J120"/>
      <c r="K120"/>
      <c r="L120"/>
    </row>
    <row r="121" spans="1:12" x14ac:dyDescent="0.3">
      <c r="A121" s="1">
        <v>5120</v>
      </c>
      <c r="B121" s="3" t="s">
        <v>246</v>
      </c>
      <c r="C121" s="3" t="s">
        <v>35</v>
      </c>
      <c r="D121" s="3" t="s">
        <v>36</v>
      </c>
      <c r="E121" s="1">
        <v>88722</v>
      </c>
      <c r="F121" s="2" t="s">
        <v>247</v>
      </c>
      <c r="G121" s="3" t="s">
        <v>24</v>
      </c>
      <c r="H121" s="1">
        <v>39</v>
      </c>
      <c r="I121" s="1">
        <v>4</v>
      </c>
      <c r="J121"/>
      <c r="K121"/>
      <c r="L121"/>
    </row>
    <row r="122" spans="1:12" x14ac:dyDescent="0.3">
      <c r="A122" s="1">
        <v>5121</v>
      </c>
      <c r="B122" s="3" t="s">
        <v>1549</v>
      </c>
      <c r="C122" s="3" t="s">
        <v>10</v>
      </c>
      <c r="D122" s="3" t="s">
        <v>49</v>
      </c>
      <c r="E122" s="1">
        <v>121403</v>
      </c>
      <c r="F122" s="2" t="s">
        <v>248</v>
      </c>
      <c r="G122" s="3" t="s">
        <v>13</v>
      </c>
      <c r="H122" s="1">
        <v>40</v>
      </c>
      <c r="I122" s="1">
        <v>2</v>
      </c>
      <c r="J122"/>
      <c r="K122"/>
      <c r="L122"/>
    </row>
    <row r="123" spans="1:12" x14ac:dyDescent="0.3">
      <c r="A123" s="1">
        <v>5122</v>
      </c>
      <c r="B123" s="3" t="s">
        <v>249</v>
      </c>
      <c r="C123" s="3" t="s">
        <v>44</v>
      </c>
      <c r="D123" s="3" t="s">
        <v>30</v>
      </c>
      <c r="E123" s="1">
        <v>124313</v>
      </c>
      <c r="F123" s="2" t="s">
        <v>250</v>
      </c>
      <c r="G123" s="3" t="s">
        <v>24</v>
      </c>
      <c r="H123" s="1">
        <v>39</v>
      </c>
      <c r="I123" s="1">
        <v>3</v>
      </c>
      <c r="J123"/>
      <c r="K123"/>
      <c r="L123"/>
    </row>
    <row r="124" spans="1:12" x14ac:dyDescent="0.3">
      <c r="A124" s="1">
        <v>5123</v>
      </c>
      <c r="B124" s="3" t="s">
        <v>251</v>
      </c>
      <c r="C124" s="3" t="s">
        <v>19</v>
      </c>
      <c r="D124" s="3" t="s">
        <v>36</v>
      </c>
      <c r="E124" s="1">
        <v>109716</v>
      </c>
      <c r="F124" s="2" t="s">
        <v>252</v>
      </c>
      <c r="G124" s="3" t="s">
        <v>13</v>
      </c>
      <c r="H124" s="1">
        <v>47</v>
      </c>
      <c r="I124" s="1">
        <v>2</v>
      </c>
      <c r="J124"/>
      <c r="K124"/>
      <c r="L124"/>
    </row>
    <row r="125" spans="1:12" x14ac:dyDescent="0.3">
      <c r="A125" s="1">
        <v>5124</v>
      </c>
      <c r="B125" s="3" t="s">
        <v>253</v>
      </c>
      <c r="C125" s="3" t="s">
        <v>79</v>
      </c>
      <c r="D125" s="3" t="s">
        <v>52</v>
      </c>
      <c r="E125" s="1">
        <v>58550</v>
      </c>
      <c r="F125" s="2" t="s">
        <v>254</v>
      </c>
      <c r="G125" s="3" t="s">
        <v>13</v>
      </c>
      <c r="H125" s="1">
        <v>29</v>
      </c>
      <c r="I125" s="1">
        <v>2</v>
      </c>
      <c r="J125"/>
      <c r="K125"/>
      <c r="L125"/>
    </row>
    <row r="126" spans="1:12" x14ac:dyDescent="0.3">
      <c r="A126" s="1">
        <v>5125</v>
      </c>
      <c r="B126" s="3" t="s">
        <v>255</v>
      </c>
      <c r="C126" s="3" t="s">
        <v>19</v>
      </c>
      <c r="D126" s="3" t="s">
        <v>52</v>
      </c>
      <c r="E126" s="1">
        <v>49368</v>
      </c>
      <c r="F126" s="2" t="s">
        <v>256</v>
      </c>
      <c r="G126" s="3" t="s">
        <v>24</v>
      </c>
      <c r="H126" s="1">
        <v>29</v>
      </c>
      <c r="I126" s="1">
        <v>3</v>
      </c>
      <c r="J126"/>
      <c r="K126"/>
      <c r="L126"/>
    </row>
    <row r="127" spans="1:12" x14ac:dyDescent="0.3">
      <c r="A127" s="1">
        <v>5126</v>
      </c>
      <c r="B127" s="3" t="s">
        <v>1550</v>
      </c>
      <c r="C127" s="3" t="s">
        <v>10</v>
      </c>
      <c r="D127" s="3" t="s">
        <v>27</v>
      </c>
      <c r="E127" s="1">
        <v>66442</v>
      </c>
      <c r="F127" s="2" t="s">
        <v>257</v>
      </c>
      <c r="G127" s="3" t="s">
        <v>13</v>
      </c>
      <c r="H127" s="1">
        <v>39</v>
      </c>
      <c r="I127" s="1">
        <v>4</v>
      </c>
      <c r="J127"/>
      <c r="K127"/>
      <c r="L127"/>
    </row>
    <row r="128" spans="1:12" x14ac:dyDescent="0.3">
      <c r="A128" s="1">
        <v>5127</v>
      </c>
      <c r="B128" s="3" t="s">
        <v>258</v>
      </c>
      <c r="C128" s="3" t="s">
        <v>63</v>
      </c>
      <c r="D128" s="3" t="s">
        <v>36</v>
      </c>
      <c r="E128" s="1">
        <v>98192</v>
      </c>
      <c r="F128" s="2" t="s">
        <v>259</v>
      </c>
      <c r="G128" s="3" t="s">
        <v>24</v>
      </c>
      <c r="H128" s="1">
        <v>39</v>
      </c>
      <c r="I128" s="1">
        <v>4</v>
      </c>
      <c r="J128"/>
      <c r="K128"/>
      <c r="L128"/>
    </row>
    <row r="129" spans="1:12" x14ac:dyDescent="0.3">
      <c r="A129" s="1">
        <v>5128</v>
      </c>
      <c r="B129" s="3" t="s">
        <v>260</v>
      </c>
      <c r="C129" s="3" t="s">
        <v>35</v>
      </c>
      <c r="D129" s="3" t="s">
        <v>52</v>
      </c>
      <c r="E129" s="1">
        <v>146657</v>
      </c>
      <c r="F129" s="2" t="s">
        <v>261</v>
      </c>
      <c r="G129" s="3" t="s">
        <v>13</v>
      </c>
      <c r="H129" s="1">
        <v>34</v>
      </c>
      <c r="I129" s="1">
        <v>3</v>
      </c>
      <c r="J129"/>
      <c r="K129"/>
      <c r="L129"/>
    </row>
    <row r="130" spans="1:12" x14ac:dyDescent="0.3">
      <c r="A130" s="1">
        <v>5129</v>
      </c>
      <c r="B130" s="3" t="s">
        <v>262</v>
      </c>
      <c r="C130" s="3" t="s">
        <v>79</v>
      </c>
      <c r="D130" s="3" t="s">
        <v>87</v>
      </c>
      <c r="E130" s="1">
        <v>64425</v>
      </c>
      <c r="F130" s="2" t="s">
        <v>263</v>
      </c>
      <c r="G130" s="3" t="s">
        <v>13</v>
      </c>
      <c r="H130" s="1">
        <v>23</v>
      </c>
      <c r="I130" s="1">
        <v>1</v>
      </c>
      <c r="J130"/>
      <c r="K130"/>
      <c r="L130"/>
    </row>
    <row r="131" spans="1:12" x14ac:dyDescent="0.3">
      <c r="A131" s="1">
        <v>5130</v>
      </c>
      <c r="B131" s="3" t="s">
        <v>264</v>
      </c>
      <c r="C131" s="3" t="s">
        <v>79</v>
      </c>
      <c r="D131" s="3" t="s">
        <v>11</v>
      </c>
      <c r="E131" s="1">
        <v>71731</v>
      </c>
      <c r="F131" s="2" t="s">
        <v>265</v>
      </c>
      <c r="G131" s="3" t="s">
        <v>24</v>
      </c>
      <c r="H131" s="1">
        <v>40</v>
      </c>
      <c r="I131" s="1">
        <v>5</v>
      </c>
      <c r="J131"/>
      <c r="K131"/>
      <c r="L131"/>
    </row>
    <row r="132" spans="1:12" x14ac:dyDescent="0.3">
      <c r="A132" s="1">
        <v>5131</v>
      </c>
      <c r="B132" s="3" t="s">
        <v>1551</v>
      </c>
      <c r="C132" s="3" t="s">
        <v>35</v>
      </c>
      <c r="D132" s="3" t="s">
        <v>20</v>
      </c>
      <c r="E132" s="1">
        <v>140520</v>
      </c>
      <c r="F132" s="2" t="s">
        <v>266</v>
      </c>
      <c r="G132" s="3" t="s">
        <v>24</v>
      </c>
      <c r="H132" s="1">
        <v>39</v>
      </c>
      <c r="I132" s="1">
        <v>3</v>
      </c>
      <c r="J132"/>
      <c r="K132"/>
      <c r="L132"/>
    </row>
    <row r="133" spans="1:12" x14ac:dyDescent="0.3">
      <c r="A133" s="1">
        <v>5132</v>
      </c>
      <c r="B133" s="3" t="s">
        <v>267</v>
      </c>
      <c r="C133" s="3" t="s">
        <v>15</v>
      </c>
      <c r="D133" s="3" t="s">
        <v>30</v>
      </c>
      <c r="E133" s="1">
        <v>117531</v>
      </c>
      <c r="F133" s="2" t="s">
        <v>268</v>
      </c>
      <c r="G133" s="3" t="s">
        <v>24</v>
      </c>
      <c r="H133" s="1">
        <v>46</v>
      </c>
      <c r="I133" s="1">
        <v>2</v>
      </c>
      <c r="J133"/>
      <c r="K133"/>
      <c r="L133"/>
    </row>
    <row r="134" spans="1:12" x14ac:dyDescent="0.3">
      <c r="A134" s="1">
        <v>5133</v>
      </c>
      <c r="B134" s="3" t="s">
        <v>269</v>
      </c>
      <c r="C134" s="3" t="s">
        <v>26</v>
      </c>
      <c r="D134" s="3" t="s">
        <v>49</v>
      </c>
      <c r="E134" s="1">
        <v>87520</v>
      </c>
      <c r="F134" s="2" t="s">
        <v>270</v>
      </c>
      <c r="G134" s="3" t="s">
        <v>24</v>
      </c>
      <c r="H134" s="1">
        <v>36</v>
      </c>
      <c r="I134" s="1">
        <v>4</v>
      </c>
      <c r="J134"/>
      <c r="K134"/>
      <c r="L134"/>
    </row>
    <row r="135" spans="1:12" x14ac:dyDescent="0.3">
      <c r="A135" s="1">
        <v>5134</v>
      </c>
      <c r="B135" s="3" t="s">
        <v>271</v>
      </c>
      <c r="C135" s="3" t="s">
        <v>79</v>
      </c>
      <c r="D135" s="3" t="s">
        <v>27</v>
      </c>
      <c r="E135" s="1">
        <v>106647</v>
      </c>
      <c r="F135" s="2" t="s">
        <v>272</v>
      </c>
      <c r="G135" s="3" t="s">
        <v>13</v>
      </c>
      <c r="H135" s="1">
        <v>30</v>
      </c>
      <c r="I135" s="1">
        <v>3</v>
      </c>
      <c r="J135"/>
      <c r="K135"/>
      <c r="L135"/>
    </row>
    <row r="136" spans="1:12" x14ac:dyDescent="0.3">
      <c r="A136" s="1">
        <v>5135</v>
      </c>
      <c r="B136" s="3" t="s">
        <v>1552</v>
      </c>
      <c r="C136" s="3" t="s">
        <v>39</v>
      </c>
      <c r="D136" s="3" t="s">
        <v>27</v>
      </c>
      <c r="E136" s="1">
        <v>133489</v>
      </c>
      <c r="F136" s="2" t="s">
        <v>273</v>
      </c>
      <c r="G136" s="3" t="s">
        <v>24</v>
      </c>
      <c r="H136" s="1">
        <v>24</v>
      </c>
      <c r="I136" s="1">
        <v>5</v>
      </c>
      <c r="J136"/>
      <c r="K136"/>
      <c r="L136"/>
    </row>
    <row r="137" spans="1:12" x14ac:dyDescent="0.3">
      <c r="A137" s="1">
        <v>5136</v>
      </c>
      <c r="B137" s="3" t="s">
        <v>274</v>
      </c>
      <c r="C137" s="3" t="s">
        <v>15</v>
      </c>
      <c r="D137" s="3" t="s">
        <v>61</v>
      </c>
      <c r="E137" s="1">
        <v>88732</v>
      </c>
      <c r="F137" s="2" t="s">
        <v>275</v>
      </c>
      <c r="G137" s="3" t="s">
        <v>13</v>
      </c>
      <c r="H137" s="1">
        <v>30</v>
      </c>
      <c r="I137" s="1">
        <v>5</v>
      </c>
      <c r="J137"/>
      <c r="K137"/>
      <c r="L137"/>
    </row>
    <row r="138" spans="1:12" x14ac:dyDescent="0.3">
      <c r="A138" s="1">
        <v>5137</v>
      </c>
      <c r="B138" s="3" t="s">
        <v>276</v>
      </c>
      <c r="C138" s="3" t="s">
        <v>39</v>
      </c>
      <c r="D138" s="3" t="s">
        <v>20</v>
      </c>
      <c r="E138" s="1">
        <v>102078</v>
      </c>
      <c r="F138" s="2" t="s">
        <v>277</v>
      </c>
      <c r="G138" s="3" t="s">
        <v>13</v>
      </c>
      <c r="H138" s="1">
        <v>46</v>
      </c>
      <c r="I138" s="1">
        <v>3</v>
      </c>
      <c r="J138"/>
      <c r="K138"/>
      <c r="L138"/>
    </row>
    <row r="139" spans="1:12" x14ac:dyDescent="0.3">
      <c r="A139" s="1">
        <v>5138</v>
      </c>
      <c r="B139" s="3" t="s">
        <v>278</v>
      </c>
      <c r="C139" s="3" t="s">
        <v>63</v>
      </c>
      <c r="D139" s="3" t="s">
        <v>36</v>
      </c>
      <c r="E139" s="1">
        <v>117427</v>
      </c>
      <c r="F139" s="2" t="s">
        <v>279</v>
      </c>
      <c r="G139" s="3" t="s">
        <v>13</v>
      </c>
      <c r="H139" s="1">
        <v>42</v>
      </c>
      <c r="I139" s="1">
        <v>3</v>
      </c>
      <c r="J139"/>
      <c r="K139"/>
      <c r="L139"/>
    </row>
    <row r="140" spans="1:12" x14ac:dyDescent="0.3">
      <c r="A140" s="1">
        <v>5139</v>
      </c>
      <c r="B140" s="3" t="s">
        <v>280</v>
      </c>
      <c r="C140" s="3" t="s">
        <v>19</v>
      </c>
      <c r="D140" s="3" t="s">
        <v>61</v>
      </c>
      <c r="E140" s="1">
        <v>61312</v>
      </c>
      <c r="F140" s="2" t="s">
        <v>281</v>
      </c>
      <c r="G140" s="3" t="s">
        <v>24</v>
      </c>
      <c r="H140" s="1">
        <v>29</v>
      </c>
      <c r="I140" s="1">
        <v>3</v>
      </c>
      <c r="J140"/>
      <c r="K140"/>
      <c r="L140"/>
    </row>
    <row r="141" spans="1:12" x14ac:dyDescent="0.3">
      <c r="A141" s="1">
        <v>5140</v>
      </c>
      <c r="B141" s="3" t="s">
        <v>282</v>
      </c>
      <c r="C141" s="3" t="s">
        <v>79</v>
      </c>
      <c r="D141" s="3" t="s">
        <v>87</v>
      </c>
      <c r="E141" s="1">
        <v>54502</v>
      </c>
      <c r="F141" s="2" t="s">
        <v>283</v>
      </c>
      <c r="G141" s="3" t="s">
        <v>1534</v>
      </c>
      <c r="H141" s="1">
        <v>45</v>
      </c>
      <c r="I141" s="1">
        <v>1</v>
      </c>
      <c r="J141"/>
      <c r="K141"/>
      <c r="L141"/>
    </row>
    <row r="142" spans="1:12" x14ac:dyDescent="0.3">
      <c r="A142" s="1">
        <v>5141</v>
      </c>
      <c r="B142" s="3" t="s">
        <v>155</v>
      </c>
      <c r="C142" s="3" t="s">
        <v>70</v>
      </c>
      <c r="D142" s="3" t="s">
        <v>20</v>
      </c>
      <c r="E142" s="1">
        <v>112346</v>
      </c>
      <c r="F142" s="2" t="s">
        <v>284</v>
      </c>
      <c r="G142" s="3" t="s">
        <v>24</v>
      </c>
      <c r="H142" s="1">
        <v>54</v>
      </c>
      <c r="I142" s="1">
        <v>2</v>
      </c>
      <c r="J142"/>
      <c r="K142"/>
      <c r="L142"/>
    </row>
    <row r="143" spans="1:12" x14ac:dyDescent="0.3">
      <c r="A143" s="1">
        <v>5142</v>
      </c>
      <c r="B143" s="3" t="s">
        <v>285</v>
      </c>
      <c r="C143" s="3" t="s">
        <v>15</v>
      </c>
      <c r="D143" s="3" t="s">
        <v>30</v>
      </c>
      <c r="E143" s="1">
        <v>52468</v>
      </c>
      <c r="F143" s="2" t="s">
        <v>286</v>
      </c>
      <c r="G143" s="3" t="s">
        <v>24</v>
      </c>
      <c r="H143" s="1">
        <v>42</v>
      </c>
      <c r="I143" s="1">
        <v>4</v>
      </c>
      <c r="J143"/>
      <c r="K143"/>
      <c r="L143"/>
    </row>
    <row r="144" spans="1:12" x14ac:dyDescent="0.3">
      <c r="A144" s="1">
        <v>5143</v>
      </c>
      <c r="B144" s="3" t="s">
        <v>287</v>
      </c>
      <c r="C144" s="3" t="s">
        <v>63</v>
      </c>
      <c r="D144" s="3" t="s">
        <v>61</v>
      </c>
      <c r="E144" s="1">
        <v>126182</v>
      </c>
      <c r="F144" s="2" t="s">
        <v>288</v>
      </c>
      <c r="G144" s="3" t="s">
        <v>24</v>
      </c>
      <c r="H144" s="1">
        <v>39</v>
      </c>
      <c r="I144" s="1">
        <v>5</v>
      </c>
      <c r="J144"/>
      <c r="K144"/>
      <c r="L144"/>
    </row>
    <row r="145" spans="1:12" x14ac:dyDescent="0.3">
      <c r="A145" s="1">
        <v>5144</v>
      </c>
      <c r="B145" s="3" t="s">
        <v>289</v>
      </c>
      <c r="C145" s="3" t="s">
        <v>79</v>
      </c>
      <c r="D145" s="3" t="s">
        <v>61</v>
      </c>
      <c r="E145" s="1">
        <v>54887</v>
      </c>
      <c r="F145" s="2" t="s">
        <v>290</v>
      </c>
      <c r="G145" s="3" t="s">
        <v>24</v>
      </c>
      <c r="H145" s="1">
        <v>43</v>
      </c>
      <c r="I145" s="1">
        <v>4</v>
      </c>
      <c r="J145"/>
      <c r="K145"/>
      <c r="L145"/>
    </row>
    <row r="146" spans="1:12" x14ac:dyDescent="0.3">
      <c r="A146" s="1">
        <v>5145</v>
      </c>
      <c r="B146" s="3" t="s">
        <v>291</v>
      </c>
      <c r="C146" s="3" t="s">
        <v>44</v>
      </c>
      <c r="D146" s="3" t="s">
        <v>20</v>
      </c>
      <c r="E146" s="1">
        <v>42443</v>
      </c>
      <c r="F146" s="2" t="s">
        <v>292</v>
      </c>
      <c r="G146" s="3" t="s">
        <v>24</v>
      </c>
      <c r="H146" s="1">
        <v>24</v>
      </c>
      <c r="I146" s="1">
        <v>5</v>
      </c>
      <c r="J146"/>
      <c r="K146"/>
      <c r="L146"/>
    </row>
    <row r="147" spans="1:12" x14ac:dyDescent="0.3">
      <c r="A147" s="1">
        <v>5146</v>
      </c>
      <c r="B147" s="3" t="s">
        <v>293</v>
      </c>
      <c r="C147" s="3" t="s">
        <v>15</v>
      </c>
      <c r="D147" s="3" t="s">
        <v>36</v>
      </c>
      <c r="E147" s="1">
        <v>43833</v>
      </c>
      <c r="F147" s="2" t="s">
        <v>294</v>
      </c>
      <c r="G147" s="3" t="s">
        <v>13</v>
      </c>
      <c r="H147" s="1">
        <v>38</v>
      </c>
      <c r="I147" s="1">
        <v>2</v>
      </c>
      <c r="J147"/>
      <c r="K147"/>
      <c r="L147"/>
    </row>
    <row r="148" spans="1:12" x14ac:dyDescent="0.3">
      <c r="A148" s="1">
        <v>5147</v>
      </c>
      <c r="B148" s="3" t="s">
        <v>295</v>
      </c>
      <c r="C148" s="3" t="s">
        <v>39</v>
      </c>
      <c r="D148" s="3" t="s">
        <v>36</v>
      </c>
      <c r="E148" s="1">
        <v>94187</v>
      </c>
      <c r="F148" s="2" t="s">
        <v>296</v>
      </c>
      <c r="G148" s="3" t="s">
        <v>13</v>
      </c>
      <c r="H148" s="1">
        <v>49</v>
      </c>
      <c r="I148" s="1">
        <v>1</v>
      </c>
      <c r="J148"/>
      <c r="K148"/>
      <c r="L148"/>
    </row>
    <row r="149" spans="1:12" x14ac:dyDescent="0.3">
      <c r="A149" s="1">
        <v>5148</v>
      </c>
      <c r="B149" s="3" t="s">
        <v>297</v>
      </c>
      <c r="C149" s="3" t="s">
        <v>63</v>
      </c>
      <c r="D149" s="3" t="s">
        <v>16</v>
      </c>
      <c r="E149" s="1">
        <v>82483</v>
      </c>
      <c r="F149" s="2" t="s">
        <v>298</v>
      </c>
      <c r="G149" s="3" t="s">
        <v>13</v>
      </c>
      <c r="H149" s="1">
        <v>54</v>
      </c>
      <c r="I149" s="1">
        <v>1</v>
      </c>
      <c r="J149"/>
      <c r="K149"/>
      <c r="L149"/>
    </row>
    <row r="150" spans="1:12" x14ac:dyDescent="0.3">
      <c r="A150" s="1">
        <v>5149</v>
      </c>
      <c r="B150" s="3" t="s">
        <v>216</v>
      </c>
      <c r="C150" s="3" t="s">
        <v>19</v>
      </c>
      <c r="D150" s="3" t="s">
        <v>27</v>
      </c>
      <c r="E150" s="1">
        <v>92594</v>
      </c>
      <c r="F150" s="2" t="s">
        <v>299</v>
      </c>
      <c r="G150" s="3" t="s">
        <v>13</v>
      </c>
      <c r="H150" s="1">
        <v>51</v>
      </c>
      <c r="I150" s="1">
        <v>2</v>
      </c>
      <c r="J150"/>
      <c r="K150"/>
      <c r="L150"/>
    </row>
    <row r="151" spans="1:12" x14ac:dyDescent="0.3">
      <c r="A151" s="1">
        <v>5150</v>
      </c>
      <c r="B151" s="3" t="s">
        <v>300</v>
      </c>
      <c r="C151" s="3" t="s">
        <v>19</v>
      </c>
      <c r="D151" s="3" t="s">
        <v>61</v>
      </c>
      <c r="E151" s="1">
        <v>88333</v>
      </c>
      <c r="F151" s="2" t="s">
        <v>301</v>
      </c>
      <c r="G151" s="3" t="s">
        <v>13</v>
      </c>
      <c r="H151" s="1">
        <v>46</v>
      </c>
      <c r="I151" s="1">
        <v>1</v>
      </c>
      <c r="J151"/>
      <c r="K151"/>
      <c r="L151"/>
    </row>
    <row r="152" spans="1:12" x14ac:dyDescent="0.3">
      <c r="A152" s="1">
        <v>5151</v>
      </c>
      <c r="B152" s="3" t="s">
        <v>302</v>
      </c>
      <c r="C152" s="3" t="s">
        <v>10</v>
      </c>
      <c r="D152" s="3" t="s">
        <v>30</v>
      </c>
      <c r="E152" s="1">
        <v>113381</v>
      </c>
      <c r="F152" s="2" t="s">
        <v>303</v>
      </c>
      <c r="G152" s="3" t="s">
        <v>24</v>
      </c>
      <c r="H152" s="1">
        <v>51</v>
      </c>
      <c r="I152" s="1">
        <v>3</v>
      </c>
      <c r="J152"/>
      <c r="K152"/>
      <c r="L152"/>
    </row>
    <row r="153" spans="1:12" x14ac:dyDescent="0.3">
      <c r="A153" s="1">
        <v>5152</v>
      </c>
      <c r="B153" s="3" t="s">
        <v>304</v>
      </c>
      <c r="C153" s="3" t="s">
        <v>15</v>
      </c>
      <c r="D153" s="3" t="s">
        <v>30</v>
      </c>
      <c r="E153" s="1">
        <v>79054</v>
      </c>
      <c r="F153" s="2" t="s">
        <v>305</v>
      </c>
      <c r="G153" s="3" t="s">
        <v>24</v>
      </c>
      <c r="H153" s="1">
        <v>36</v>
      </c>
      <c r="I153" s="1">
        <v>3</v>
      </c>
      <c r="J153"/>
      <c r="K153"/>
      <c r="L153"/>
    </row>
    <row r="154" spans="1:12" x14ac:dyDescent="0.3">
      <c r="A154" s="1">
        <v>5153</v>
      </c>
      <c r="B154" s="3" t="s">
        <v>306</v>
      </c>
      <c r="C154" s="3" t="s">
        <v>26</v>
      </c>
      <c r="D154" s="3" t="s">
        <v>20</v>
      </c>
      <c r="E154" s="1">
        <v>69218</v>
      </c>
      <c r="F154" s="2" t="s">
        <v>307</v>
      </c>
      <c r="G154" s="3" t="s">
        <v>13</v>
      </c>
      <c r="H154" s="1">
        <v>55</v>
      </c>
      <c r="I154" s="1">
        <v>5</v>
      </c>
      <c r="J154"/>
      <c r="K154"/>
      <c r="L154"/>
    </row>
    <row r="155" spans="1:12" x14ac:dyDescent="0.3">
      <c r="A155" s="1">
        <v>5154</v>
      </c>
      <c r="B155" s="3" t="s">
        <v>308</v>
      </c>
      <c r="C155" s="3" t="s">
        <v>35</v>
      </c>
      <c r="D155" s="3" t="s">
        <v>30</v>
      </c>
      <c r="E155" s="1">
        <v>87520</v>
      </c>
      <c r="F155" s="2" t="s">
        <v>309</v>
      </c>
      <c r="G155" s="3" t="s">
        <v>13</v>
      </c>
      <c r="H155" s="1">
        <v>34</v>
      </c>
      <c r="I155" s="1">
        <v>5</v>
      </c>
      <c r="J155"/>
      <c r="K155"/>
      <c r="L155"/>
    </row>
    <row r="156" spans="1:12" x14ac:dyDescent="0.3">
      <c r="A156" s="1">
        <v>5155</v>
      </c>
      <c r="B156" s="3" t="s">
        <v>310</v>
      </c>
      <c r="C156" s="3" t="s">
        <v>19</v>
      </c>
      <c r="D156" s="3" t="s">
        <v>20</v>
      </c>
      <c r="E156" s="1">
        <v>120023</v>
      </c>
      <c r="F156" s="2" t="s">
        <v>311</v>
      </c>
      <c r="G156" s="3" t="s">
        <v>24</v>
      </c>
      <c r="H156" s="1">
        <v>47</v>
      </c>
      <c r="I156" s="1">
        <v>1</v>
      </c>
      <c r="J156"/>
      <c r="K156"/>
      <c r="L156"/>
    </row>
    <row r="157" spans="1:12" x14ac:dyDescent="0.3">
      <c r="A157" s="1">
        <v>5156</v>
      </c>
      <c r="B157" s="3" t="s">
        <v>312</v>
      </c>
      <c r="C157" s="3" t="s">
        <v>19</v>
      </c>
      <c r="D157" s="3" t="s">
        <v>30</v>
      </c>
      <c r="E157" s="1">
        <v>45008</v>
      </c>
      <c r="F157" s="2" t="s">
        <v>313</v>
      </c>
      <c r="G157" s="3" t="s">
        <v>1534</v>
      </c>
      <c r="H157" s="1">
        <v>55</v>
      </c>
      <c r="I157" s="1">
        <v>1</v>
      </c>
      <c r="J157"/>
      <c r="K157"/>
      <c r="L157"/>
    </row>
    <row r="158" spans="1:12" x14ac:dyDescent="0.3">
      <c r="A158" s="1">
        <v>5157</v>
      </c>
      <c r="B158" s="3" t="s">
        <v>314</v>
      </c>
      <c r="C158" s="3" t="s">
        <v>63</v>
      </c>
      <c r="D158" s="3" t="s">
        <v>61</v>
      </c>
      <c r="E158" s="1">
        <v>86752</v>
      </c>
      <c r="F158" s="2" t="s">
        <v>315</v>
      </c>
      <c r="G158" s="3" t="s">
        <v>13</v>
      </c>
      <c r="H158" s="1">
        <v>52</v>
      </c>
      <c r="I158" s="1">
        <v>1</v>
      </c>
      <c r="J158"/>
      <c r="K158"/>
      <c r="L158"/>
    </row>
    <row r="159" spans="1:12" x14ac:dyDescent="0.3">
      <c r="A159" s="1">
        <v>5158</v>
      </c>
      <c r="B159" s="3" t="s">
        <v>589</v>
      </c>
      <c r="C159" s="3" t="s">
        <v>70</v>
      </c>
      <c r="D159" s="3" t="s">
        <v>30</v>
      </c>
      <c r="E159" s="1">
        <v>38193</v>
      </c>
      <c r="F159" s="2" t="s">
        <v>316</v>
      </c>
      <c r="G159" s="3" t="s">
        <v>24</v>
      </c>
      <c r="H159" s="1">
        <v>45</v>
      </c>
      <c r="I159" s="1">
        <v>3</v>
      </c>
      <c r="J159"/>
      <c r="K159"/>
      <c r="L159"/>
    </row>
    <row r="160" spans="1:12" x14ac:dyDescent="0.3">
      <c r="A160" s="1">
        <v>5159</v>
      </c>
      <c r="B160" s="3" t="s">
        <v>317</v>
      </c>
      <c r="C160" s="3" t="s">
        <v>15</v>
      </c>
      <c r="D160" s="3" t="s">
        <v>20</v>
      </c>
      <c r="E160" s="1">
        <v>49894</v>
      </c>
      <c r="F160" s="2" t="s">
        <v>318</v>
      </c>
      <c r="G160" s="3" t="s">
        <v>13</v>
      </c>
      <c r="H160" s="1">
        <v>23</v>
      </c>
      <c r="I160" s="1">
        <v>2</v>
      </c>
      <c r="J160"/>
      <c r="K160"/>
      <c r="L160"/>
    </row>
    <row r="161" spans="1:12" x14ac:dyDescent="0.3">
      <c r="A161" s="1">
        <v>5160</v>
      </c>
      <c r="B161" s="3" t="s">
        <v>319</v>
      </c>
      <c r="C161" s="3" t="s">
        <v>39</v>
      </c>
      <c r="D161" s="3" t="s">
        <v>30</v>
      </c>
      <c r="E161" s="1">
        <v>58043</v>
      </c>
      <c r="F161" s="2" t="s">
        <v>320</v>
      </c>
      <c r="G161" s="3" t="s">
        <v>13</v>
      </c>
      <c r="H161" s="1">
        <v>41</v>
      </c>
      <c r="I161" s="1">
        <v>4</v>
      </c>
      <c r="J161"/>
      <c r="K161"/>
      <c r="L161"/>
    </row>
    <row r="162" spans="1:12" x14ac:dyDescent="0.3">
      <c r="A162" s="1">
        <v>5161</v>
      </c>
      <c r="B162" s="3" t="s">
        <v>321</v>
      </c>
      <c r="C162" s="3" t="s">
        <v>26</v>
      </c>
      <c r="D162" s="3" t="s">
        <v>61</v>
      </c>
      <c r="E162" s="1">
        <v>87520</v>
      </c>
      <c r="F162" s="2" t="s">
        <v>322</v>
      </c>
      <c r="G162" s="3" t="s">
        <v>24</v>
      </c>
      <c r="H162" s="1">
        <v>49</v>
      </c>
      <c r="I162" s="1">
        <v>5</v>
      </c>
      <c r="J162"/>
      <c r="K162"/>
      <c r="L162"/>
    </row>
    <row r="163" spans="1:12" x14ac:dyDescent="0.3">
      <c r="A163" s="1">
        <v>5162</v>
      </c>
      <c r="B163" s="3" t="s">
        <v>323</v>
      </c>
      <c r="C163" s="3" t="s">
        <v>10</v>
      </c>
      <c r="D163" s="3" t="s">
        <v>52</v>
      </c>
      <c r="E163" s="1">
        <v>91503</v>
      </c>
      <c r="F163" s="2" t="s">
        <v>324</v>
      </c>
      <c r="G163" s="3" t="s">
        <v>24</v>
      </c>
      <c r="H163" s="1">
        <v>52</v>
      </c>
      <c r="I163" s="1">
        <v>1</v>
      </c>
      <c r="J163"/>
      <c r="K163"/>
      <c r="L163"/>
    </row>
    <row r="164" spans="1:12" x14ac:dyDescent="0.3">
      <c r="A164" s="1">
        <v>5163</v>
      </c>
      <c r="B164" s="3" t="s">
        <v>325</v>
      </c>
      <c r="C164" s="3" t="s">
        <v>19</v>
      </c>
      <c r="D164" s="3" t="s">
        <v>30</v>
      </c>
      <c r="E164" s="1">
        <v>41052</v>
      </c>
      <c r="F164" s="2" t="s">
        <v>196</v>
      </c>
      <c r="G164" s="3" t="s">
        <v>13</v>
      </c>
      <c r="H164" s="1">
        <v>54</v>
      </c>
      <c r="I164" s="1">
        <v>2</v>
      </c>
      <c r="J164"/>
      <c r="K164"/>
      <c r="L164"/>
    </row>
    <row r="165" spans="1:12" x14ac:dyDescent="0.3">
      <c r="A165" s="1">
        <v>5164</v>
      </c>
      <c r="B165" s="3" t="s">
        <v>51</v>
      </c>
      <c r="C165" s="3" t="s">
        <v>79</v>
      </c>
      <c r="D165" s="3" t="s">
        <v>36</v>
      </c>
      <c r="E165" s="1">
        <v>87520</v>
      </c>
      <c r="F165" s="2" t="s">
        <v>326</v>
      </c>
      <c r="G165" s="3" t="s">
        <v>13</v>
      </c>
      <c r="H165" s="1">
        <v>51</v>
      </c>
      <c r="I165" s="1">
        <v>2</v>
      </c>
      <c r="J165"/>
      <c r="K165"/>
      <c r="L165"/>
    </row>
    <row r="166" spans="1:12" x14ac:dyDescent="0.3">
      <c r="A166" s="1">
        <v>5165</v>
      </c>
      <c r="B166" s="3" t="s">
        <v>327</v>
      </c>
      <c r="C166" s="3" t="s">
        <v>35</v>
      </c>
      <c r="D166" s="3" t="s">
        <v>30</v>
      </c>
      <c r="E166" s="1">
        <v>29350</v>
      </c>
      <c r="F166" s="2" t="s">
        <v>328</v>
      </c>
      <c r="G166" s="3" t="s">
        <v>24</v>
      </c>
      <c r="H166" s="1">
        <v>39</v>
      </c>
      <c r="I166" s="1">
        <v>3</v>
      </c>
      <c r="J166"/>
      <c r="K166"/>
      <c r="L166"/>
    </row>
    <row r="167" spans="1:12" x14ac:dyDescent="0.3">
      <c r="A167" s="1">
        <v>5166</v>
      </c>
      <c r="B167" s="3" t="s">
        <v>329</v>
      </c>
      <c r="C167" s="3" t="s">
        <v>44</v>
      </c>
      <c r="D167" s="3" t="s">
        <v>11</v>
      </c>
      <c r="E167" s="1">
        <v>93906</v>
      </c>
      <c r="F167" s="2" t="s">
        <v>330</v>
      </c>
      <c r="G167" s="3" t="s">
        <v>13</v>
      </c>
      <c r="H167" s="1">
        <v>54</v>
      </c>
      <c r="I167" s="1">
        <v>5</v>
      </c>
      <c r="J167"/>
      <c r="K167"/>
      <c r="L167"/>
    </row>
    <row r="168" spans="1:12" x14ac:dyDescent="0.3">
      <c r="A168" s="1">
        <v>5167</v>
      </c>
      <c r="B168" s="3" t="s">
        <v>43</v>
      </c>
      <c r="C168" s="3" t="s">
        <v>10</v>
      </c>
      <c r="D168" s="3" t="s">
        <v>36</v>
      </c>
      <c r="E168" s="1">
        <v>69914</v>
      </c>
      <c r="F168" s="2" t="s">
        <v>331</v>
      </c>
      <c r="G168" s="3" t="s">
        <v>13</v>
      </c>
      <c r="H168" s="1">
        <v>34</v>
      </c>
      <c r="I168" s="1">
        <v>1</v>
      </c>
      <c r="J168"/>
      <c r="K168"/>
      <c r="L168"/>
    </row>
    <row r="169" spans="1:12" x14ac:dyDescent="0.3">
      <c r="A169" s="1">
        <v>5168</v>
      </c>
      <c r="B169" s="3" t="s">
        <v>332</v>
      </c>
      <c r="C169" s="3" t="s">
        <v>79</v>
      </c>
      <c r="D169" s="3" t="s">
        <v>16</v>
      </c>
      <c r="E169" s="1">
        <v>81290</v>
      </c>
      <c r="F169" s="2" t="s">
        <v>333</v>
      </c>
      <c r="G169" s="3" t="s">
        <v>13</v>
      </c>
      <c r="H169" s="1">
        <v>42</v>
      </c>
      <c r="I169" s="1">
        <v>5</v>
      </c>
      <c r="J169"/>
      <c r="K169"/>
      <c r="L169"/>
    </row>
    <row r="170" spans="1:12" x14ac:dyDescent="0.3">
      <c r="A170" s="1">
        <v>5169</v>
      </c>
      <c r="B170" s="3" t="s">
        <v>334</v>
      </c>
      <c r="C170" s="3" t="s">
        <v>70</v>
      </c>
      <c r="D170" s="3" t="s">
        <v>61</v>
      </c>
      <c r="E170" s="1">
        <v>49023</v>
      </c>
      <c r="F170" s="2" t="s">
        <v>335</v>
      </c>
      <c r="G170" s="3" t="s">
        <v>13</v>
      </c>
      <c r="H170" s="1">
        <v>41</v>
      </c>
      <c r="I170" s="1">
        <v>2</v>
      </c>
      <c r="J170"/>
      <c r="K170"/>
      <c r="L170"/>
    </row>
    <row r="171" spans="1:12" x14ac:dyDescent="0.3">
      <c r="A171" s="1">
        <v>5170</v>
      </c>
      <c r="B171" s="3" t="s">
        <v>336</v>
      </c>
      <c r="C171" s="3" t="s">
        <v>35</v>
      </c>
      <c r="D171" s="3" t="s">
        <v>30</v>
      </c>
      <c r="E171" s="1">
        <v>29308</v>
      </c>
      <c r="F171" s="2" t="s">
        <v>337</v>
      </c>
      <c r="G171" s="3" t="s">
        <v>13</v>
      </c>
      <c r="H171" s="1">
        <v>51</v>
      </c>
      <c r="I171" s="1">
        <v>2</v>
      </c>
      <c r="J171"/>
      <c r="K171"/>
      <c r="L171"/>
    </row>
    <row r="172" spans="1:12" x14ac:dyDescent="0.3">
      <c r="A172" s="1">
        <v>5171</v>
      </c>
      <c r="B172" s="3" t="s">
        <v>338</v>
      </c>
      <c r="C172" s="3" t="s">
        <v>10</v>
      </c>
      <c r="D172" s="3" t="s">
        <v>87</v>
      </c>
      <c r="E172" s="1">
        <v>30565</v>
      </c>
      <c r="F172" s="2" t="s">
        <v>339</v>
      </c>
      <c r="G172" s="3" t="s">
        <v>24</v>
      </c>
      <c r="H172" s="1">
        <v>48</v>
      </c>
      <c r="I172" s="1">
        <v>2</v>
      </c>
      <c r="J172"/>
      <c r="K172"/>
      <c r="L172"/>
    </row>
    <row r="173" spans="1:12" x14ac:dyDescent="0.3">
      <c r="A173" s="1">
        <v>5172</v>
      </c>
      <c r="B173" s="3" t="s">
        <v>1100</v>
      </c>
      <c r="C173" s="3" t="s">
        <v>10</v>
      </c>
      <c r="D173" s="3" t="s">
        <v>87</v>
      </c>
      <c r="E173" s="1">
        <v>149341</v>
      </c>
      <c r="F173" s="2" t="s">
        <v>340</v>
      </c>
      <c r="G173" s="3" t="s">
        <v>24</v>
      </c>
      <c r="H173" s="1">
        <v>27</v>
      </c>
      <c r="I173" s="1">
        <v>1</v>
      </c>
      <c r="J173"/>
      <c r="K173"/>
      <c r="L173"/>
    </row>
    <row r="174" spans="1:12" x14ac:dyDescent="0.3">
      <c r="A174" s="1">
        <v>5173</v>
      </c>
      <c r="B174" s="3" t="s">
        <v>341</v>
      </c>
      <c r="C174" s="3" t="s">
        <v>79</v>
      </c>
      <c r="D174" s="3" t="s">
        <v>20</v>
      </c>
      <c r="E174" s="1">
        <v>69583</v>
      </c>
      <c r="F174" s="2" t="s">
        <v>342</v>
      </c>
      <c r="G174" s="3" t="s">
        <v>13</v>
      </c>
      <c r="H174" s="1">
        <v>29</v>
      </c>
      <c r="I174" s="1">
        <v>3</v>
      </c>
      <c r="J174"/>
      <c r="K174"/>
      <c r="L174"/>
    </row>
    <row r="175" spans="1:12" x14ac:dyDescent="0.3">
      <c r="A175" s="1">
        <v>5174</v>
      </c>
      <c r="B175" s="3" t="s">
        <v>343</v>
      </c>
      <c r="C175" s="3" t="s">
        <v>10</v>
      </c>
      <c r="D175" s="3" t="s">
        <v>27</v>
      </c>
      <c r="E175" s="1">
        <v>131323</v>
      </c>
      <c r="F175" s="2" t="s">
        <v>344</v>
      </c>
      <c r="G175" s="3" t="s">
        <v>24</v>
      </c>
      <c r="H175" s="1">
        <v>35</v>
      </c>
      <c r="I175" s="1">
        <v>4</v>
      </c>
      <c r="J175"/>
      <c r="K175"/>
      <c r="L175"/>
    </row>
    <row r="176" spans="1:12" x14ac:dyDescent="0.3">
      <c r="A176" s="1">
        <v>5175</v>
      </c>
      <c r="B176" s="3" t="s">
        <v>345</v>
      </c>
      <c r="C176" s="3" t="s">
        <v>35</v>
      </c>
      <c r="D176" s="3" t="s">
        <v>49</v>
      </c>
      <c r="E176" s="1">
        <v>123662</v>
      </c>
      <c r="F176" s="2" t="s">
        <v>346</v>
      </c>
      <c r="G176" s="3" t="s">
        <v>13</v>
      </c>
      <c r="H176" s="1">
        <v>21</v>
      </c>
      <c r="I176" s="1">
        <v>3</v>
      </c>
      <c r="J176"/>
      <c r="K176"/>
      <c r="L176"/>
    </row>
    <row r="177" spans="1:12" x14ac:dyDescent="0.3">
      <c r="A177" s="1">
        <v>5176</v>
      </c>
      <c r="B177" s="3" t="s">
        <v>347</v>
      </c>
      <c r="C177" s="3" t="s">
        <v>35</v>
      </c>
      <c r="D177" s="3" t="s">
        <v>16</v>
      </c>
      <c r="E177" s="1">
        <v>139133</v>
      </c>
      <c r="F177" s="2" t="s">
        <v>348</v>
      </c>
      <c r="G177" s="3" t="s">
        <v>13</v>
      </c>
      <c r="H177" s="1">
        <v>29</v>
      </c>
      <c r="I177" s="1">
        <v>4</v>
      </c>
      <c r="J177"/>
      <c r="K177"/>
      <c r="L177"/>
    </row>
    <row r="178" spans="1:12" x14ac:dyDescent="0.3">
      <c r="A178" s="1">
        <v>5177</v>
      </c>
      <c r="B178" s="3" t="s">
        <v>349</v>
      </c>
      <c r="C178" s="3" t="s">
        <v>63</v>
      </c>
      <c r="D178" s="3" t="s">
        <v>30</v>
      </c>
      <c r="E178" s="1">
        <v>117497</v>
      </c>
      <c r="F178" s="2" t="s">
        <v>350</v>
      </c>
      <c r="G178" s="3" t="s">
        <v>13</v>
      </c>
      <c r="H178" s="1">
        <v>34</v>
      </c>
      <c r="I178" s="1">
        <v>4</v>
      </c>
      <c r="J178"/>
      <c r="K178"/>
      <c r="L178"/>
    </row>
    <row r="179" spans="1:12" x14ac:dyDescent="0.3">
      <c r="A179" s="1">
        <v>5178</v>
      </c>
      <c r="B179" s="3" t="s">
        <v>351</v>
      </c>
      <c r="C179" s="3" t="s">
        <v>26</v>
      </c>
      <c r="D179" s="3" t="s">
        <v>87</v>
      </c>
      <c r="E179" s="1">
        <v>144199</v>
      </c>
      <c r="F179" s="2" t="s">
        <v>352</v>
      </c>
      <c r="G179" s="3" t="s">
        <v>24</v>
      </c>
      <c r="H179" s="1">
        <v>35</v>
      </c>
      <c r="I179" s="1">
        <v>2</v>
      </c>
      <c r="J179"/>
      <c r="K179"/>
      <c r="L179"/>
    </row>
    <row r="180" spans="1:12" x14ac:dyDescent="0.3">
      <c r="A180" s="1">
        <v>5179</v>
      </c>
      <c r="B180" s="3" t="s">
        <v>353</v>
      </c>
      <c r="C180" s="3" t="s">
        <v>35</v>
      </c>
      <c r="D180" s="3" t="s">
        <v>11</v>
      </c>
      <c r="E180" s="1">
        <v>145479</v>
      </c>
      <c r="F180" s="2" t="s">
        <v>354</v>
      </c>
      <c r="G180" s="3" t="s">
        <v>13</v>
      </c>
      <c r="H180" s="1">
        <v>52</v>
      </c>
      <c r="I180" s="1">
        <v>5</v>
      </c>
      <c r="J180"/>
      <c r="K180"/>
      <c r="L180"/>
    </row>
    <row r="181" spans="1:12" x14ac:dyDescent="0.3">
      <c r="A181" s="1">
        <v>5180</v>
      </c>
      <c r="B181" s="3" t="s">
        <v>355</v>
      </c>
      <c r="C181" s="3" t="s">
        <v>26</v>
      </c>
      <c r="D181" s="3" t="s">
        <v>87</v>
      </c>
      <c r="E181" s="1">
        <v>135427</v>
      </c>
      <c r="F181" s="2" t="s">
        <v>356</v>
      </c>
      <c r="G181" s="3" t="s">
        <v>24</v>
      </c>
      <c r="H181" s="1">
        <v>47</v>
      </c>
      <c r="I181" s="1">
        <v>3</v>
      </c>
      <c r="J181"/>
      <c r="K181"/>
      <c r="L181"/>
    </row>
    <row r="182" spans="1:12" x14ac:dyDescent="0.3">
      <c r="A182" s="1">
        <v>5181</v>
      </c>
      <c r="B182" s="3" t="s">
        <v>1553</v>
      </c>
      <c r="C182" s="3" t="s">
        <v>70</v>
      </c>
      <c r="D182" s="3" t="s">
        <v>87</v>
      </c>
      <c r="E182" s="1">
        <v>30180</v>
      </c>
      <c r="F182" s="2" t="s">
        <v>99</v>
      </c>
      <c r="G182" s="3" t="s">
        <v>24</v>
      </c>
      <c r="H182" s="1">
        <v>40</v>
      </c>
      <c r="I182" s="1">
        <v>2</v>
      </c>
      <c r="J182"/>
      <c r="K182"/>
      <c r="L182"/>
    </row>
    <row r="183" spans="1:12" x14ac:dyDescent="0.3">
      <c r="A183" s="1">
        <v>5182</v>
      </c>
      <c r="B183" s="3" t="s">
        <v>243</v>
      </c>
      <c r="C183" s="3" t="s">
        <v>70</v>
      </c>
      <c r="D183" s="3" t="s">
        <v>36</v>
      </c>
      <c r="E183" s="1">
        <v>127267</v>
      </c>
      <c r="F183" s="2" t="s">
        <v>357</v>
      </c>
      <c r="G183" s="3" t="s">
        <v>13</v>
      </c>
      <c r="H183" s="1">
        <v>36</v>
      </c>
      <c r="I183" s="1">
        <v>4</v>
      </c>
      <c r="J183"/>
      <c r="K183"/>
      <c r="L183"/>
    </row>
    <row r="184" spans="1:12" x14ac:dyDescent="0.3">
      <c r="A184" s="1">
        <v>5183</v>
      </c>
      <c r="B184" s="3" t="s">
        <v>358</v>
      </c>
      <c r="C184" s="3" t="s">
        <v>44</v>
      </c>
      <c r="D184" s="3" t="s">
        <v>16</v>
      </c>
      <c r="E184" s="1">
        <v>66500</v>
      </c>
      <c r="F184" s="2" t="s">
        <v>359</v>
      </c>
      <c r="G184" s="3" t="s">
        <v>13</v>
      </c>
      <c r="H184" s="1">
        <v>28</v>
      </c>
      <c r="I184" s="1">
        <v>2</v>
      </c>
      <c r="J184"/>
      <c r="K184"/>
      <c r="L184"/>
    </row>
    <row r="185" spans="1:12" x14ac:dyDescent="0.3">
      <c r="A185" s="1">
        <v>5184</v>
      </c>
      <c r="B185" s="3" t="s">
        <v>360</v>
      </c>
      <c r="C185" s="3" t="s">
        <v>19</v>
      </c>
      <c r="D185" s="3" t="s">
        <v>16</v>
      </c>
      <c r="E185" s="1">
        <v>142695</v>
      </c>
      <c r="F185" s="2" t="s">
        <v>361</v>
      </c>
      <c r="G185" s="3" t="s">
        <v>13</v>
      </c>
      <c r="H185" s="1">
        <v>55</v>
      </c>
      <c r="I185" s="1">
        <v>2</v>
      </c>
      <c r="J185"/>
      <c r="K185"/>
      <c r="L185"/>
    </row>
    <row r="186" spans="1:12" x14ac:dyDescent="0.3">
      <c r="A186" s="1">
        <v>5185</v>
      </c>
      <c r="B186" s="3" t="s">
        <v>362</v>
      </c>
      <c r="C186" s="3" t="s">
        <v>44</v>
      </c>
      <c r="D186" s="3" t="s">
        <v>36</v>
      </c>
      <c r="E186" s="1">
        <v>87520</v>
      </c>
      <c r="F186" s="2" t="s">
        <v>363</v>
      </c>
      <c r="G186" s="3" t="s">
        <v>24</v>
      </c>
      <c r="H186" s="1">
        <v>49</v>
      </c>
      <c r="I186" s="1">
        <v>3</v>
      </c>
      <c r="J186"/>
      <c r="K186"/>
      <c r="L186"/>
    </row>
    <row r="187" spans="1:12" x14ac:dyDescent="0.3">
      <c r="A187" s="1">
        <v>5186</v>
      </c>
      <c r="B187" s="3" t="s">
        <v>364</v>
      </c>
      <c r="C187" s="3" t="s">
        <v>63</v>
      </c>
      <c r="D187" s="3" t="s">
        <v>61</v>
      </c>
      <c r="E187" s="1">
        <v>108414</v>
      </c>
      <c r="F187" s="2" t="s">
        <v>365</v>
      </c>
      <c r="G187" s="3" t="s">
        <v>13</v>
      </c>
      <c r="H187" s="1">
        <v>22</v>
      </c>
      <c r="I187" s="1">
        <v>1</v>
      </c>
      <c r="J187"/>
      <c r="K187"/>
      <c r="L187"/>
    </row>
    <row r="188" spans="1:12" x14ac:dyDescent="0.3">
      <c r="A188" s="1">
        <v>5187</v>
      </c>
      <c r="B188" s="3" t="s">
        <v>366</v>
      </c>
      <c r="C188" s="3" t="s">
        <v>63</v>
      </c>
      <c r="D188" s="3" t="s">
        <v>36</v>
      </c>
      <c r="E188" s="1">
        <v>121608</v>
      </c>
      <c r="F188" s="2" t="s">
        <v>367</v>
      </c>
      <c r="G188" s="3" t="s">
        <v>24</v>
      </c>
      <c r="H188" s="1">
        <v>47</v>
      </c>
      <c r="I188" s="1">
        <v>1</v>
      </c>
      <c r="J188"/>
      <c r="K188"/>
      <c r="L188"/>
    </row>
    <row r="189" spans="1:12" x14ac:dyDescent="0.3">
      <c r="A189" s="1">
        <v>5188</v>
      </c>
      <c r="B189" s="3" t="s">
        <v>368</v>
      </c>
      <c r="C189" s="3" t="s">
        <v>19</v>
      </c>
      <c r="D189" s="3" t="s">
        <v>11</v>
      </c>
      <c r="E189" s="1">
        <v>39392</v>
      </c>
      <c r="F189" s="2" t="s">
        <v>369</v>
      </c>
      <c r="G189" s="3" t="s">
        <v>13</v>
      </c>
      <c r="H189" s="1">
        <v>23</v>
      </c>
      <c r="I189" s="1">
        <v>3</v>
      </c>
      <c r="J189"/>
      <c r="K189"/>
      <c r="L189"/>
    </row>
    <row r="190" spans="1:12" x14ac:dyDescent="0.3">
      <c r="A190" s="1">
        <v>5189</v>
      </c>
      <c r="B190" s="3" t="s">
        <v>140</v>
      </c>
      <c r="C190" s="3" t="s">
        <v>79</v>
      </c>
      <c r="D190" s="3" t="s">
        <v>11</v>
      </c>
      <c r="E190" s="1">
        <v>52456</v>
      </c>
      <c r="F190" s="2" t="s">
        <v>370</v>
      </c>
      <c r="G190" s="3" t="s">
        <v>13</v>
      </c>
      <c r="H190" s="1">
        <v>35</v>
      </c>
      <c r="I190" s="1">
        <v>3</v>
      </c>
      <c r="J190"/>
      <c r="K190"/>
      <c r="L190"/>
    </row>
    <row r="191" spans="1:12" x14ac:dyDescent="0.3">
      <c r="A191" s="1">
        <v>5190</v>
      </c>
      <c r="B191" s="3" t="s">
        <v>371</v>
      </c>
      <c r="C191" s="3" t="s">
        <v>39</v>
      </c>
      <c r="D191" s="3" t="s">
        <v>20</v>
      </c>
      <c r="E191" s="1">
        <v>75886</v>
      </c>
      <c r="F191" s="2" t="s">
        <v>372</v>
      </c>
      <c r="G191" s="3" t="s">
        <v>13</v>
      </c>
      <c r="H191" s="1">
        <v>46</v>
      </c>
      <c r="I191" s="1">
        <v>3</v>
      </c>
      <c r="J191"/>
      <c r="K191"/>
      <c r="L191"/>
    </row>
    <row r="192" spans="1:12" x14ac:dyDescent="0.3">
      <c r="A192" s="1">
        <v>5191</v>
      </c>
      <c r="B192" s="3" t="s">
        <v>373</v>
      </c>
      <c r="C192" s="3" t="s">
        <v>35</v>
      </c>
      <c r="D192" s="3" t="s">
        <v>49</v>
      </c>
      <c r="E192" s="1">
        <v>48066</v>
      </c>
      <c r="F192" s="2" t="s">
        <v>374</v>
      </c>
      <c r="G192" s="3" t="s">
        <v>1534</v>
      </c>
      <c r="H192" s="1">
        <v>29</v>
      </c>
      <c r="I192" s="1">
        <v>1</v>
      </c>
      <c r="J192"/>
      <c r="K192"/>
      <c r="L192"/>
    </row>
    <row r="193" spans="1:12" x14ac:dyDescent="0.3">
      <c r="A193" s="1">
        <v>5192</v>
      </c>
      <c r="B193" s="3" t="s">
        <v>375</v>
      </c>
      <c r="C193" s="3" t="s">
        <v>70</v>
      </c>
      <c r="D193" s="3" t="s">
        <v>11</v>
      </c>
      <c r="E193" s="1">
        <v>127655</v>
      </c>
      <c r="F193" s="2" t="s">
        <v>376</v>
      </c>
      <c r="G193" s="3" t="s">
        <v>13</v>
      </c>
      <c r="H193" s="1">
        <v>51</v>
      </c>
      <c r="I193" s="1">
        <v>4</v>
      </c>
      <c r="J193"/>
      <c r="K193"/>
      <c r="L193"/>
    </row>
    <row r="194" spans="1:12" x14ac:dyDescent="0.3">
      <c r="A194" s="1">
        <v>5193</v>
      </c>
      <c r="B194" s="3" t="s">
        <v>377</v>
      </c>
      <c r="C194" s="3" t="s">
        <v>39</v>
      </c>
      <c r="D194" s="3" t="s">
        <v>49</v>
      </c>
      <c r="E194" s="1">
        <v>69369</v>
      </c>
      <c r="F194" s="2" t="s">
        <v>378</v>
      </c>
      <c r="G194" s="3" t="s">
        <v>24</v>
      </c>
      <c r="H194" s="1">
        <v>36</v>
      </c>
      <c r="I194" s="1">
        <v>1</v>
      </c>
      <c r="J194"/>
      <c r="K194"/>
      <c r="L194"/>
    </row>
    <row r="195" spans="1:12" x14ac:dyDescent="0.3">
      <c r="A195" s="1">
        <v>5194</v>
      </c>
      <c r="B195" s="3" t="s">
        <v>379</v>
      </c>
      <c r="C195" s="3" t="s">
        <v>10</v>
      </c>
      <c r="D195" s="3" t="s">
        <v>30</v>
      </c>
      <c r="E195" s="1">
        <v>142370</v>
      </c>
      <c r="F195" s="2" t="s">
        <v>380</v>
      </c>
      <c r="G195" s="3" t="s">
        <v>24</v>
      </c>
      <c r="H195" s="1">
        <v>46</v>
      </c>
      <c r="I195" s="1">
        <v>5</v>
      </c>
      <c r="J195"/>
      <c r="K195"/>
      <c r="L195"/>
    </row>
    <row r="196" spans="1:12" x14ac:dyDescent="0.3">
      <c r="A196" s="1">
        <v>5195</v>
      </c>
      <c r="B196" s="3" t="s">
        <v>381</v>
      </c>
      <c r="C196" s="3" t="s">
        <v>79</v>
      </c>
      <c r="D196" s="3" t="s">
        <v>30</v>
      </c>
      <c r="E196" s="1">
        <v>32837</v>
      </c>
      <c r="F196" s="2" t="s">
        <v>382</v>
      </c>
      <c r="G196" s="3" t="s">
        <v>24</v>
      </c>
      <c r="H196" s="1">
        <v>49</v>
      </c>
      <c r="I196" s="1">
        <v>3</v>
      </c>
      <c r="J196"/>
      <c r="K196"/>
      <c r="L196"/>
    </row>
    <row r="197" spans="1:12" x14ac:dyDescent="0.3">
      <c r="A197" s="1">
        <v>5196</v>
      </c>
      <c r="B197" s="3" t="s">
        <v>383</v>
      </c>
      <c r="C197" s="3" t="s">
        <v>10</v>
      </c>
      <c r="D197" s="3" t="s">
        <v>20</v>
      </c>
      <c r="E197" s="1">
        <v>60419</v>
      </c>
      <c r="F197" s="2" t="s">
        <v>384</v>
      </c>
      <c r="G197" s="3" t="s">
        <v>24</v>
      </c>
      <c r="H197" s="1">
        <v>37</v>
      </c>
      <c r="I197" s="1">
        <v>3</v>
      </c>
      <c r="J197"/>
      <c r="K197"/>
      <c r="L197"/>
    </row>
    <row r="198" spans="1:12" x14ac:dyDescent="0.3">
      <c r="A198" s="1">
        <v>5197</v>
      </c>
      <c r="B198" s="3" t="s">
        <v>385</v>
      </c>
      <c r="C198" s="3" t="s">
        <v>39</v>
      </c>
      <c r="D198" s="3" t="s">
        <v>36</v>
      </c>
      <c r="E198" s="1">
        <v>116540</v>
      </c>
      <c r="F198" s="2" t="s">
        <v>386</v>
      </c>
      <c r="G198" s="3" t="s">
        <v>1534</v>
      </c>
      <c r="H198" s="1">
        <v>32</v>
      </c>
      <c r="I198" s="1">
        <v>4</v>
      </c>
      <c r="J198"/>
      <c r="K198"/>
      <c r="L198"/>
    </row>
    <row r="199" spans="1:12" x14ac:dyDescent="0.3">
      <c r="A199" s="1">
        <v>5198</v>
      </c>
      <c r="B199" s="3" t="s">
        <v>387</v>
      </c>
      <c r="C199" s="3" t="s">
        <v>35</v>
      </c>
      <c r="D199" s="3" t="s">
        <v>87</v>
      </c>
      <c r="E199" s="1">
        <v>87520</v>
      </c>
      <c r="F199" s="2" t="s">
        <v>388</v>
      </c>
      <c r="G199" s="3" t="s">
        <v>24</v>
      </c>
      <c r="H199" s="1">
        <v>22</v>
      </c>
      <c r="I199" s="1">
        <v>1</v>
      </c>
      <c r="J199"/>
      <c r="K199"/>
      <c r="L199"/>
    </row>
    <row r="200" spans="1:12" x14ac:dyDescent="0.3">
      <c r="A200" s="1">
        <v>5199</v>
      </c>
      <c r="B200" s="3" t="s">
        <v>89</v>
      </c>
      <c r="C200" s="3" t="s">
        <v>70</v>
      </c>
      <c r="D200" s="3" t="s">
        <v>52</v>
      </c>
      <c r="E200" s="1">
        <v>41900</v>
      </c>
      <c r="F200" s="2" t="s">
        <v>389</v>
      </c>
      <c r="G200" s="3" t="s">
        <v>24</v>
      </c>
      <c r="H200" s="1">
        <v>27</v>
      </c>
      <c r="I200" s="1">
        <v>1</v>
      </c>
      <c r="J200"/>
      <c r="K200"/>
      <c r="L200"/>
    </row>
    <row r="201" spans="1:12" x14ac:dyDescent="0.3">
      <c r="A201" s="1">
        <v>5200</v>
      </c>
      <c r="B201" s="3" t="s">
        <v>390</v>
      </c>
      <c r="C201" s="3" t="s">
        <v>79</v>
      </c>
      <c r="D201" s="3" t="s">
        <v>52</v>
      </c>
      <c r="E201" s="1">
        <v>139949</v>
      </c>
      <c r="F201" s="2" t="s">
        <v>119</v>
      </c>
      <c r="G201" s="3" t="s">
        <v>24</v>
      </c>
      <c r="H201" s="1">
        <v>24</v>
      </c>
      <c r="I201" s="1">
        <v>4</v>
      </c>
      <c r="J201"/>
      <c r="K201"/>
      <c r="L201"/>
    </row>
    <row r="202" spans="1:12" x14ac:dyDescent="0.3">
      <c r="A202" s="1">
        <v>5201</v>
      </c>
      <c r="B202" s="3" t="s">
        <v>113</v>
      </c>
      <c r="C202" s="3" t="s">
        <v>63</v>
      </c>
      <c r="D202" s="3" t="s">
        <v>61</v>
      </c>
      <c r="E202" s="1">
        <v>70809</v>
      </c>
      <c r="F202" s="2" t="s">
        <v>391</v>
      </c>
      <c r="G202" s="3" t="s">
        <v>13</v>
      </c>
      <c r="H202" s="1">
        <v>22</v>
      </c>
      <c r="I202" s="1">
        <v>3</v>
      </c>
      <c r="J202"/>
      <c r="K202"/>
      <c r="L202"/>
    </row>
    <row r="203" spans="1:12" x14ac:dyDescent="0.3">
      <c r="A203" s="1">
        <v>5202</v>
      </c>
      <c r="B203" s="3" t="s">
        <v>392</v>
      </c>
      <c r="C203" s="3" t="s">
        <v>26</v>
      </c>
      <c r="D203" s="3" t="s">
        <v>61</v>
      </c>
      <c r="E203" s="1">
        <v>87520</v>
      </c>
      <c r="F203" s="2" t="s">
        <v>393</v>
      </c>
      <c r="G203" s="3" t="s">
        <v>24</v>
      </c>
      <c r="H203" s="1">
        <v>26</v>
      </c>
      <c r="I203" s="1">
        <v>4</v>
      </c>
      <c r="J203"/>
      <c r="K203"/>
      <c r="L203"/>
    </row>
    <row r="204" spans="1:12" x14ac:dyDescent="0.3">
      <c r="A204" s="1">
        <v>5203</v>
      </c>
      <c r="B204" s="3" t="s">
        <v>1554</v>
      </c>
      <c r="C204" s="3" t="s">
        <v>10</v>
      </c>
      <c r="D204" s="3" t="s">
        <v>61</v>
      </c>
      <c r="E204" s="1">
        <v>51166</v>
      </c>
      <c r="F204" s="2" t="s">
        <v>394</v>
      </c>
      <c r="G204" s="3" t="s">
        <v>13</v>
      </c>
      <c r="H204" s="1">
        <v>24</v>
      </c>
      <c r="I204" s="1">
        <v>2</v>
      </c>
      <c r="J204"/>
      <c r="K204"/>
      <c r="L204"/>
    </row>
    <row r="205" spans="1:12" x14ac:dyDescent="0.3">
      <c r="A205" s="1">
        <v>5204</v>
      </c>
      <c r="B205" s="3" t="s">
        <v>395</v>
      </c>
      <c r="C205" s="3" t="s">
        <v>44</v>
      </c>
      <c r="D205" s="3" t="s">
        <v>20</v>
      </c>
      <c r="E205" s="1">
        <v>30539</v>
      </c>
      <c r="F205" s="2" t="s">
        <v>396</v>
      </c>
      <c r="G205" s="3" t="s">
        <v>13</v>
      </c>
      <c r="H205" s="1">
        <v>47</v>
      </c>
      <c r="I205" s="1">
        <v>5</v>
      </c>
      <c r="J205"/>
      <c r="K205"/>
      <c r="L205"/>
    </row>
    <row r="206" spans="1:12" x14ac:dyDescent="0.3">
      <c r="A206" s="1">
        <v>5205</v>
      </c>
      <c r="B206" s="3" t="s">
        <v>397</v>
      </c>
      <c r="C206" s="3" t="s">
        <v>35</v>
      </c>
      <c r="D206" s="3" t="s">
        <v>30</v>
      </c>
      <c r="E206" s="1">
        <v>41772</v>
      </c>
      <c r="F206" s="2" t="s">
        <v>398</v>
      </c>
      <c r="G206" s="3" t="s">
        <v>24</v>
      </c>
      <c r="H206" s="1">
        <v>21</v>
      </c>
      <c r="I206" s="1">
        <v>1</v>
      </c>
      <c r="J206"/>
      <c r="K206"/>
      <c r="L206"/>
    </row>
    <row r="207" spans="1:12" x14ac:dyDescent="0.3">
      <c r="A207" s="1">
        <v>5206</v>
      </c>
      <c r="B207" s="3" t="s">
        <v>399</v>
      </c>
      <c r="C207" s="3" t="s">
        <v>44</v>
      </c>
      <c r="D207" s="3" t="s">
        <v>16</v>
      </c>
      <c r="E207" s="1">
        <v>35141</v>
      </c>
      <c r="F207" s="2" t="s">
        <v>400</v>
      </c>
      <c r="G207" s="3" t="s">
        <v>1534</v>
      </c>
      <c r="H207" s="1">
        <v>47</v>
      </c>
      <c r="I207" s="1">
        <v>3</v>
      </c>
      <c r="J207"/>
      <c r="K207"/>
      <c r="L207"/>
    </row>
    <row r="208" spans="1:12" x14ac:dyDescent="0.3">
      <c r="A208" s="1">
        <v>5207</v>
      </c>
      <c r="B208" s="3" t="s">
        <v>401</v>
      </c>
      <c r="C208" s="3" t="s">
        <v>15</v>
      </c>
      <c r="D208" s="3" t="s">
        <v>20</v>
      </c>
      <c r="E208" s="1">
        <v>48883</v>
      </c>
      <c r="F208" s="2" t="s">
        <v>402</v>
      </c>
      <c r="G208" s="3" t="s">
        <v>24</v>
      </c>
      <c r="H208" s="1">
        <v>48</v>
      </c>
      <c r="I208" s="1">
        <v>3</v>
      </c>
      <c r="J208"/>
      <c r="K208"/>
      <c r="L208"/>
    </row>
    <row r="209" spans="1:12" x14ac:dyDescent="0.3">
      <c r="A209" s="1">
        <v>5208</v>
      </c>
      <c r="B209" s="3" t="s">
        <v>403</v>
      </c>
      <c r="C209" s="3" t="s">
        <v>39</v>
      </c>
      <c r="D209" s="3" t="s">
        <v>11</v>
      </c>
      <c r="E209" s="1">
        <v>63601</v>
      </c>
      <c r="F209" s="2" t="s">
        <v>404</v>
      </c>
      <c r="G209" s="3" t="s">
        <v>13</v>
      </c>
      <c r="H209" s="1">
        <v>21</v>
      </c>
      <c r="I209" s="1">
        <v>3</v>
      </c>
      <c r="J209"/>
      <c r="K209"/>
      <c r="L209"/>
    </row>
    <row r="210" spans="1:12" x14ac:dyDescent="0.3">
      <c r="A210" s="1">
        <v>5209</v>
      </c>
      <c r="B210" s="3" t="s">
        <v>377</v>
      </c>
      <c r="C210" s="3" t="s">
        <v>44</v>
      </c>
      <c r="D210" s="3" t="s">
        <v>20</v>
      </c>
      <c r="E210" s="1">
        <v>141027</v>
      </c>
      <c r="F210" s="2" t="s">
        <v>405</v>
      </c>
      <c r="G210" s="3" t="s">
        <v>1534</v>
      </c>
      <c r="H210" s="1">
        <v>39</v>
      </c>
      <c r="I210" s="1">
        <v>1</v>
      </c>
      <c r="J210"/>
      <c r="K210"/>
      <c r="L210"/>
    </row>
    <row r="211" spans="1:12" x14ac:dyDescent="0.3">
      <c r="A211" s="1">
        <v>5210</v>
      </c>
      <c r="B211" s="3" t="s">
        <v>285</v>
      </c>
      <c r="C211" s="3" t="s">
        <v>44</v>
      </c>
      <c r="D211" s="3" t="s">
        <v>87</v>
      </c>
      <c r="E211" s="1">
        <v>123422</v>
      </c>
      <c r="F211" s="2" t="s">
        <v>406</v>
      </c>
      <c r="G211" s="3" t="s">
        <v>24</v>
      </c>
      <c r="H211" s="1">
        <v>37</v>
      </c>
      <c r="I211" s="1">
        <v>2</v>
      </c>
      <c r="J211"/>
      <c r="K211"/>
      <c r="L211"/>
    </row>
    <row r="212" spans="1:12" x14ac:dyDescent="0.3">
      <c r="A212" s="1">
        <v>5211</v>
      </c>
      <c r="B212" s="3" t="s">
        <v>407</v>
      </c>
      <c r="C212" s="3" t="s">
        <v>79</v>
      </c>
      <c r="D212" s="3" t="s">
        <v>30</v>
      </c>
      <c r="E212" s="1">
        <v>65355</v>
      </c>
      <c r="F212" s="2" t="s">
        <v>408</v>
      </c>
      <c r="G212" s="3" t="s">
        <v>24</v>
      </c>
      <c r="H212" s="1">
        <v>55</v>
      </c>
      <c r="I212" s="1">
        <v>1</v>
      </c>
      <c r="J212"/>
      <c r="K212"/>
      <c r="L212"/>
    </row>
    <row r="213" spans="1:12" x14ac:dyDescent="0.3">
      <c r="A213" s="1">
        <v>5212</v>
      </c>
      <c r="B213" s="3" t="s">
        <v>409</v>
      </c>
      <c r="C213" s="3" t="s">
        <v>35</v>
      </c>
      <c r="D213" s="3" t="s">
        <v>52</v>
      </c>
      <c r="E213" s="1">
        <v>28183</v>
      </c>
      <c r="F213" s="2" t="s">
        <v>410</v>
      </c>
      <c r="G213" s="3" t="s">
        <v>24</v>
      </c>
      <c r="H213" s="1">
        <v>49</v>
      </c>
      <c r="I213" s="1">
        <v>1</v>
      </c>
      <c r="J213"/>
      <c r="K213"/>
      <c r="L213"/>
    </row>
    <row r="214" spans="1:12" x14ac:dyDescent="0.3">
      <c r="A214" s="1">
        <v>5213</v>
      </c>
      <c r="B214" s="3" t="s">
        <v>411</v>
      </c>
      <c r="C214" s="3" t="s">
        <v>19</v>
      </c>
      <c r="D214" s="3" t="s">
        <v>30</v>
      </c>
      <c r="E214" s="1">
        <v>32420</v>
      </c>
      <c r="F214" s="2" t="s">
        <v>412</v>
      </c>
      <c r="G214" s="3" t="s">
        <v>13</v>
      </c>
      <c r="H214" s="1">
        <v>49</v>
      </c>
      <c r="I214" s="1">
        <v>1</v>
      </c>
      <c r="J214"/>
      <c r="K214"/>
      <c r="L214"/>
    </row>
    <row r="215" spans="1:12" x14ac:dyDescent="0.3">
      <c r="A215" s="1">
        <v>5214</v>
      </c>
      <c r="B215" s="3" t="s">
        <v>413</v>
      </c>
      <c r="C215" s="3" t="s">
        <v>26</v>
      </c>
      <c r="D215" s="3" t="s">
        <v>27</v>
      </c>
      <c r="E215" s="1">
        <v>71553</v>
      </c>
      <c r="F215" s="2" t="s">
        <v>414</v>
      </c>
      <c r="G215" s="3" t="s">
        <v>13</v>
      </c>
      <c r="H215" s="1">
        <v>43</v>
      </c>
      <c r="I215" s="1">
        <v>4</v>
      </c>
      <c r="J215"/>
      <c r="K215"/>
      <c r="L215"/>
    </row>
    <row r="216" spans="1:12" x14ac:dyDescent="0.3">
      <c r="A216" s="1">
        <v>5215</v>
      </c>
      <c r="B216" s="3" t="s">
        <v>280</v>
      </c>
      <c r="C216" s="3" t="s">
        <v>10</v>
      </c>
      <c r="D216" s="3" t="s">
        <v>20</v>
      </c>
      <c r="E216" s="1">
        <v>104957</v>
      </c>
      <c r="F216" s="2" t="s">
        <v>415</v>
      </c>
      <c r="G216" s="3" t="s">
        <v>24</v>
      </c>
      <c r="H216" s="1">
        <v>39</v>
      </c>
      <c r="I216" s="1">
        <v>4</v>
      </c>
      <c r="J216"/>
      <c r="K216"/>
      <c r="L216"/>
    </row>
    <row r="217" spans="1:12" x14ac:dyDescent="0.3">
      <c r="A217" s="1">
        <v>5216</v>
      </c>
      <c r="B217" s="3" t="s">
        <v>416</v>
      </c>
      <c r="C217" s="3" t="s">
        <v>10</v>
      </c>
      <c r="D217" s="3" t="s">
        <v>87</v>
      </c>
      <c r="E217" s="1">
        <v>65066</v>
      </c>
      <c r="F217" s="2" t="s">
        <v>149</v>
      </c>
      <c r="G217" s="3" t="s">
        <v>24</v>
      </c>
      <c r="H217" s="1">
        <v>25</v>
      </c>
      <c r="I217" s="1">
        <v>3</v>
      </c>
      <c r="J217"/>
      <c r="K217"/>
      <c r="L217"/>
    </row>
    <row r="218" spans="1:12" x14ac:dyDescent="0.3">
      <c r="A218" s="1">
        <v>5217</v>
      </c>
      <c r="B218" s="3" t="s">
        <v>417</v>
      </c>
      <c r="C218" s="3" t="s">
        <v>15</v>
      </c>
      <c r="D218" s="3" t="s">
        <v>49</v>
      </c>
      <c r="E218" s="1">
        <v>31886</v>
      </c>
      <c r="F218" s="2" t="s">
        <v>418</v>
      </c>
      <c r="G218" s="3" t="s">
        <v>13</v>
      </c>
      <c r="H218" s="1">
        <v>49</v>
      </c>
      <c r="I218" s="1">
        <v>2</v>
      </c>
      <c r="J218"/>
      <c r="K218"/>
      <c r="L218"/>
    </row>
    <row r="219" spans="1:12" x14ac:dyDescent="0.3">
      <c r="A219" s="1">
        <v>5218</v>
      </c>
      <c r="B219" s="3" t="s">
        <v>419</v>
      </c>
      <c r="C219" s="3" t="s">
        <v>39</v>
      </c>
      <c r="D219" s="3" t="s">
        <v>30</v>
      </c>
      <c r="E219" s="1">
        <v>86586</v>
      </c>
      <c r="F219" s="2" t="s">
        <v>420</v>
      </c>
      <c r="G219" s="3" t="s">
        <v>13</v>
      </c>
      <c r="H219" s="1">
        <v>36</v>
      </c>
      <c r="I219" s="1">
        <v>5</v>
      </c>
      <c r="J219"/>
      <c r="K219"/>
      <c r="L219"/>
    </row>
    <row r="220" spans="1:12" x14ac:dyDescent="0.3">
      <c r="A220" s="1">
        <v>5219</v>
      </c>
      <c r="B220" s="3" t="s">
        <v>421</v>
      </c>
      <c r="C220" s="3" t="s">
        <v>70</v>
      </c>
      <c r="D220" s="3" t="s">
        <v>11</v>
      </c>
      <c r="E220" s="1">
        <v>110668</v>
      </c>
      <c r="F220" s="2" t="s">
        <v>422</v>
      </c>
      <c r="G220" s="3" t="s">
        <v>13</v>
      </c>
      <c r="H220" s="1">
        <v>44</v>
      </c>
      <c r="I220" s="1">
        <v>4</v>
      </c>
      <c r="J220"/>
      <c r="K220"/>
      <c r="L220"/>
    </row>
    <row r="221" spans="1:12" x14ac:dyDescent="0.3">
      <c r="A221" s="1">
        <v>5220</v>
      </c>
      <c r="B221" s="3" t="s">
        <v>423</v>
      </c>
      <c r="C221" s="3" t="s">
        <v>10</v>
      </c>
      <c r="D221" s="3" t="s">
        <v>61</v>
      </c>
      <c r="E221" s="1">
        <v>30515</v>
      </c>
      <c r="F221" s="2" t="s">
        <v>424</v>
      </c>
      <c r="G221" s="3" t="s">
        <v>24</v>
      </c>
      <c r="H221" s="1">
        <v>34</v>
      </c>
      <c r="I221" s="1">
        <v>1</v>
      </c>
      <c r="J221"/>
      <c r="K221"/>
      <c r="L221"/>
    </row>
    <row r="222" spans="1:12" x14ac:dyDescent="0.3">
      <c r="A222" s="1">
        <v>5221</v>
      </c>
      <c r="B222" s="3" t="s">
        <v>1555</v>
      </c>
      <c r="C222" s="3" t="s">
        <v>26</v>
      </c>
      <c r="D222" s="3" t="s">
        <v>87</v>
      </c>
      <c r="E222" s="1">
        <v>140639</v>
      </c>
      <c r="F222" s="2" t="s">
        <v>425</v>
      </c>
      <c r="G222" s="3" t="s">
        <v>24</v>
      </c>
      <c r="H222" s="1">
        <v>24</v>
      </c>
      <c r="I222" s="1">
        <v>3</v>
      </c>
      <c r="J222"/>
      <c r="K222"/>
      <c r="L222"/>
    </row>
    <row r="223" spans="1:12" x14ac:dyDescent="0.3">
      <c r="A223" s="1">
        <v>5222</v>
      </c>
      <c r="B223" s="3" t="s">
        <v>1556</v>
      </c>
      <c r="C223" s="3" t="s">
        <v>63</v>
      </c>
      <c r="D223" s="3" t="s">
        <v>36</v>
      </c>
      <c r="E223" s="1">
        <v>33023</v>
      </c>
      <c r="F223" s="2" t="s">
        <v>426</v>
      </c>
      <c r="G223" s="3" t="s">
        <v>13</v>
      </c>
      <c r="H223" s="1">
        <v>35</v>
      </c>
      <c r="I223" s="1">
        <v>4</v>
      </c>
      <c r="J223"/>
      <c r="K223"/>
      <c r="L223"/>
    </row>
    <row r="224" spans="1:12" x14ac:dyDescent="0.3">
      <c r="A224" s="1">
        <v>5223</v>
      </c>
      <c r="B224" s="3" t="s">
        <v>427</v>
      </c>
      <c r="C224" s="3" t="s">
        <v>19</v>
      </c>
      <c r="D224" s="3" t="s">
        <v>27</v>
      </c>
      <c r="E224" s="1">
        <v>55178</v>
      </c>
      <c r="F224" s="2" t="s">
        <v>428</v>
      </c>
      <c r="G224" s="3" t="s">
        <v>24</v>
      </c>
      <c r="H224" s="1">
        <v>53</v>
      </c>
      <c r="I224" s="1">
        <v>3</v>
      </c>
      <c r="J224"/>
      <c r="K224"/>
      <c r="L224"/>
    </row>
    <row r="225" spans="1:12" x14ac:dyDescent="0.3">
      <c r="A225" s="1">
        <v>5224</v>
      </c>
      <c r="B225" s="3" t="s">
        <v>1557</v>
      </c>
      <c r="C225" s="3" t="s">
        <v>26</v>
      </c>
      <c r="D225" s="3" t="s">
        <v>11</v>
      </c>
      <c r="E225" s="1">
        <v>98794</v>
      </c>
      <c r="F225" s="2" t="s">
        <v>429</v>
      </c>
      <c r="G225" s="3" t="s">
        <v>13</v>
      </c>
      <c r="H225" s="1">
        <v>40</v>
      </c>
      <c r="I225" s="1">
        <v>5</v>
      </c>
      <c r="J225"/>
      <c r="K225"/>
      <c r="L225"/>
    </row>
    <row r="226" spans="1:12" x14ac:dyDescent="0.3">
      <c r="A226" s="1">
        <v>5225</v>
      </c>
      <c r="B226" s="3" t="s">
        <v>1558</v>
      </c>
      <c r="C226" s="3" t="s">
        <v>39</v>
      </c>
      <c r="D226" s="3" t="s">
        <v>11</v>
      </c>
      <c r="E226" s="1">
        <v>29240</v>
      </c>
      <c r="F226" s="2" t="s">
        <v>28</v>
      </c>
      <c r="G226" s="3" t="s">
        <v>24</v>
      </c>
      <c r="H226" s="1">
        <v>30</v>
      </c>
      <c r="I226" s="1">
        <v>4</v>
      </c>
      <c r="J226"/>
      <c r="K226"/>
      <c r="L226"/>
    </row>
    <row r="227" spans="1:12" x14ac:dyDescent="0.3">
      <c r="A227" s="1">
        <v>5226</v>
      </c>
      <c r="B227" s="3" t="s">
        <v>430</v>
      </c>
      <c r="C227" s="3" t="s">
        <v>15</v>
      </c>
      <c r="D227" s="3" t="s">
        <v>61</v>
      </c>
      <c r="E227" s="1">
        <v>138335</v>
      </c>
      <c r="F227" s="2" t="s">
        <v>431</v>
      </c>
      <c r="G227" s="3" t="s">
        <v>24</v>
      </c>
      <c r="H227" s="1">
        <v>36</v>
      </c>
      <c r="I227" s="1">
        <v>4</v>
      </c>
      <c r="J227"/>
      <c r="K227"/>
      <c r="L227"/>
    </row>
    <row r="228" spans="1:12" x14ac:dyDescent="0.3">
      <c r="A228" s="1">
        <v>5227</v>
      </c>
      <c r="B228" s="3" t="s">
        <v>432</v>
      </c>
      <c r="C228" s="3" t="s">
        <v>35</v>
      </c>
      <c r="D228" s="3" t="s">
        <v>20</v>
      </c>
      <c r="E228" s="1">
        <v>104604</v>
      </c>
      <c r="F228" s="2" t="s">
        <v>433</v>
      </c>
      <c r="G228" s="3" t="s">
        <v>24</v>
      </c>
      <c r="H228" s="1">
        <v>52</v>
      </c>
      <c r="I228" s="1">
        <v>5</v>
      </c>
      <c r="J228"/>
      <c r="K228"/>
      <c r="L228"/>
    </row>
    <row r="229" spans="1:12" x14ac:dyDescent="0.3">
      <c r="A229" s="1">
        <v>5228</v>
      </c>
      <c r="B229" s="3" t="s">
        <v>434</v>
      </c>
      <c r="C229" s="3" t="s">
        <v>79</v>
      </c>
      <c r="D229" s="3" t="s">
        <v>11</v>
      </c>
      <c r="E229" s="1">
        <v>149203</v>
      </c>
      <c r="F229" s="2" t="s">
        <v>435</v>
      </c>
      <c r="G229" s="3" t="s">
        <v>24</v>
      </c>
      <c r="H229" s="1">
        <v>34</v>
      </c>
      <c r="I229" s="1">
        <v>3</v>
      </c>
      <c r="J229"/>
      <c r="K229"/>
      <c r="L229"/>
    </row>
    <row r="230" spans="1:12" x14ac:dyDescent="0.3">
      <c r="A230" s="1">
        <v>5229</v>
      </c>
      <c r="B230" s="3" t="s">
        <v>1559</v>
      </c>
      <c r="C230" s="3" t="s">
        <v>79</v>
      </c>
      <c r="D230" s="3" t="s">
        <v>61</v>
      </c>
      <c r="E230" s="1">
        <v>120806</v>
      </c>
      <c r="F230" s="2" t="s">
        <v>436</v>
      </c>
      <c r="G230" s="3" t="s">
        <v>13</v>
      </c>
      <c r="H230" s="1">
        <v>42</v>
      </c>
      <c r="I230" s="1">
        <v>5</v>
      </c>
      <c r="J230"/>
      <c r="K230"/>
      <c r="L230"/>
    </row>
    <row r="231" spans="1:12" x14ac:dyDescent="0.3">
      <c r="A231" s="1">
        <v>5230</v>
      </c>
      <c r="B231" s="3" t="s">
        <v>437</v>
      </c>
      <c r="C231" s="3" t="s">
        <v>70</v>
      </c>
      <c r="D231" s="3" t="s">
        <v>52</v>
      </c>
      <c r="E231" s="1">
        <v>40807</v>
      </c>
      <c r="F231" s="2" t="s">
        <v>438</v>
      </c>
      <c r="G231" s="3" t="s">
        <v>13</v>
      </c>
      <c r="H231" s="1">
        <v>36</v>
      </c>
      <c r="I231" s="1">
        <v>3</v>
      </c>
      <c r="J231"/>
      <c r="K231"/>
      <c r="L231"/>
    </row>
    <row r="232" spans="1:12" x14ac:dyDescent="0.3">
      <c r="A232" s="1">
        <v>5231</v>
      </c>
      <c r="B232" s="3" t="s">
        <v>439</v>
      </c>
      <c r="C232" s="3" t="s">
        <v>39</v>
      </c>
      <c r="D232" s="3" t="s">
        <v>52</v>
      </c>
      <c r="E232" s="1">
        <v>43291</v>
      </c>
      <c r="F232" s="2" t="s">
        <v>440</v>
      </c>
      <c r="G232" s="3" t="s">
        <v>1534</v>
      </c>
      <c r="H232" s="1">
        <v>46</v>
      </c>
      <c r="I232" s="1">
        <v>3</v>
      </c>
      <c r="J232"/>
      <c r="K232"/>
      <c r="L232"/>
    </row>
    <row r="233" spans="1:12" x14ac:dyDescent="0.3">
      <c r="A233" s="1">
        <v>5232</v>
      </c>
      <c r="B233" s="3" t="s">
        <v>441</v>
      </c>
      <c r="C233" s="3" t="s">
        <v>26</v>
      </c>
      <c r="D233" s="3" t="s">
        <v>27</v>
      </c>
      <c r="E233" s="1">
        <v>123603</v>
      </c>
      <c r="F233" s="2" t="s">
        <v>442</v>
      </c>
      <c r="G233" s="3" t="s">
        <v>24</v>
      </c>
      <c r="H233" s="1">
        <v>53</v>
      </c>
      <c r="I233" s="1">
        <v>2</v>
      </c>
      <c r="J233"/>
      <c r="K233"/>
      <c r="L233"/>
    </row>
    <row r="234" spans="1:12" x14ac:dyDescent="0.3">
      <c r="A234" s="1">
        <v>5233</v>
      </c>
      <c r="B234" s="3" t="s">
        <v>443</v>
      </c>
      <c r="C234" s="3" t="s">
        <v>79</v>
      </c>
      <c r="D234" s="3" t="s">
        <v>52</v>
      </c>
      <c r="E234" s="1">
        <v>35652</v>
      </c>
      <c r="F234" s="2" t="s">
        <v>444</v>
      </c>
      <c r="G234" s="3" t="s">
        <v>24</v>
      </c>
      <c r="H234" s="1">
        <v>39</v>
      </c>
      <c r="I234" s="1">
        <v>2</v>
      </c>
      <c r="J234"/>
      <c r="K234"/>
      <c r="L234"/>
    </row>
    <row r="235" spans="1:12" x14ac:dyDescent="0.3">
      <c r="A235" s="1">
        <v>5234</v>
      </c>
      <c r="B235" s="3" t="s">
        <v>310</v>
      </c>
      <c r="C235" s="3" t="s">
        <v>35</v>
      </c>
      <c r="D235" s="3" t="s">
        <v>16</v>
      </c>
      <c r="E235" s="1">
        <v>131775</v>
      </c>
      <c r="F235" s="2" t="s">
        <v>445</v>
      </c>
      <c r="G235" s="3" t="s">
        <v>13</v>
      </c>
      <c r="H235" s="1">
        <v>34</v>
      </c>
      <c r="I235" s="1">
        <v>2</v>
      </c>
      <c r="J235"/>
      <c r="K235"/>
      <c r="L235"/>
    </row>
    <row r="236" spans="1:12" x14ac:dyDescent="0.3">
      <c r="A236" s="1">
        <v>5235</v>
      </c>
      <c r="B236" s="3" t="s">
        <v>446</v>
      </c>
      <c r="C236" s="3" t="s">
        <v>26</v>
      </c>
      <c r="D236" s="3" t="s">
        <v>30</v>
      </c>
      <c r="E236" s="1">
        <v>109480</v>
      </c>
      <c r="F236" s="2" t="s">
        <v>447</v>
      </c>
      <c r="G236" s="3" t="s">
        <v>13</v>
      </c>
      <c r="H236" s="1">
        <v>39</v>
      </c>
      <c r="I236" s="1">
        <v>5</v>
      </c>
      <c r="J236"/>
      <c r="K236"/>
      <c r="L236"/>
    </row>
    <row r="237" spans="1:12" x14ac:dyDescent="0.3">
      <c r="A237" s="1">
        <v>5236</v>
      </c>
      <c r="B237" s="3" t="s">
        <v>147</v>
      </c>
      <c r="C237" s="3" t="s">
        <v>44</v>
      </c>
      <c r="D237" s="3" t="s">
        <v>27</v>
      </c>
      <c r="E237" s="1">
        <v>117496</v>
      </c>
      <c r="F237" s="2" t="s">
        <v>448</v>
      </c>
      <c r="G237" s="3" t="s">
        <v>24</v>
      </c>
      <c r="H237" s="1">
        <v>33</v>
      </c>
      <c r="I237" s="1">
        <v>2</v>
      </c>
      <c r="J237"/>
      <c r="K237"/>
      <c r="L237"/>
    </row>
    <row r="238" spans="1:12" x14ac:dyDescent="0.3">
      <c r="A238" s="1">
        <v>5237</v>
      </c>
      <c r="B238" s="3" t="s">
        <v>449</v>
      </c>
      <c r="C238" s="3" t="s">
        <v>10</v>
      </c>
      <c r="D238" s="3" t="s">
        <v>49</v>
      </c>
      <c r="E238" s="1">
        <v>67263</v>
      </c>
      <c r="F238" s="2" t="s">
        <v>450</v>
      </c>
      <c r="G238" s="3" t="s">
        <v>13</v>
      </c>
      <c r="H238" s="1">
        <v>25</v>
      </c>
      <c r="I238" s="1">
        <v>4</v>
      </c>
      <c r="J238"/>
      <c r="K238"/>
      <c r="L238"/>
    </row>
    <row r="239" spans="1:12" x14ac:dyDescent="0.3">
      <c r="A239" s="1">
        <v>5238</v>
      </c>
      <c r="B239" s="3" t="s">
        <v>451</v>
      </c>
      <c r="C239" s="3" t="s">
        <v>44</v>
      </c>
      <c r="D239" s="3" t="s">
        <v>11</v>
      </c>
      <c r="E239" s="1">
        <v>131587</v>
      </c>
      <c r="F239" s="2" t="s">
        <v>452</v>
      </c>
      <c r="G239" s="3" t="s">
        <v>1534</v>
      </c>
      <c r="H239" s="1">
        <v>24</v>
      </c>
      <c r="I239" s="1">
        <v>4</v>
      </c>
      <c r="J239"/>
      <c r="K239"/>
      <c r="L239"/>
    </row>
    <row r="240" spans="1:12" x14ac:dyDescent="0.3">
      <c r="A240" s="1">
        <v>5239</v>
      </c>
      <c r="B240" s="3" t="s">
        <v>453</v>
      </c>
      <c r="C240" s="3" t="s">
        <v>44</v>
      </c>
      <c r="D240" s="3" t="s">
        <v>61</v>
      </c>
      <c r="E240" s="1">
        <v>141974</v>
      </c>
      <c r="F240" s="2" t="s">
        <v>454</v>
      </c>
      <c r="G240" s="3" t="s">
        <v>24</v>
      </c>
      <c r="H240" s="1">
        <v>33</v>
      </c>
      <c r="I240" s="1">
        <v>4</v>
      </c>
      <c r="J240"/>
      <c r="K240"/>
      <c r="L240"/>
    </row>
    <row r="241" spans="1:12" x14ac:dyDescent="0.3">
      <c r="A241" s="1">
        <v>5240</v>
      </c>
      <c r="B241" s="3" t="s">
        <v>455</v>
      </c>
      <c r="C241" s="3" t="s">
        <v>19</v>
      </c>
      <c r="D241" s="3" t="s">
        <v>52</v>
      </c>
      <c r="E241" s="1">
        <v>142236</v>
      </c>
      <c r="F241" s="2" t="s">
        <v>456</v>
      </c>
      <c r="G241" s="3" t="s">
        <v>24</v>
      </c>
      <c r="H241" s="1">
        <v>38</v>
      </c>
      <c r="I241" s="1">
        <v>3</v>
      </c>
      <c r="J241"/>
      <c r="K241"/>
      <c r="L241"/>
    </row>
    <row r="242" spans="1:12" x14ac:dyDescent="0.3">
      <c r="A242" s="1">
        <v>5241</v>
      </c>
      <c r="B242" s="3" t="s">
        <v>457</v>
      </c>
      <c r="C242" s="3" t="s">
        <v>39</v>
      </c>
      <c r="D242" s="3" t="s">
        <v>61</v>
      </c>
      <c r="E242" s="1">
        <v>101968</v>
      </c>
      <c r="F242" s="2" t="s">
        <v>458</v>
      </c>
      <c r="G242" s="3" t="s">
        <v>13</v>
      </c>
      <c r="H242" s="1">
        <v>23</v>
      </c>
      <c r="I242" s="1">
        <v>4</v>
      </c>
      <c r="J242"/>
      <c r="K242"/>
      <c r="L242"/>
    </row>
    <row r="243" spans="1:12" x14ac:dyDescent="0.3">
      <c r="A243" s="1">
        <v>5242</v>
      </c>
      <c r="B243" s="3" t="s">
        <v>459</v>
      </c>
      <c r="C243" s="3" t="s">
        <v>39</v>
      </c>
      <c r="D243" s="3" t="s">
        <v>87</v>
      </c>
      <c r="E243" s="1">
        <v>87520</v>
      </c>
      <c r="F243" s="2" t="s">
        <v>460</v>
      </c>
      <c r="G243" s="3" t="s">
        <v>24</v>
      </c>
      <c r="H243" s="1">
        <v>26</v>
      </c>
      <c r="I243" s="1">
        <v>5</v>
      </c>
      <c r="J243"/>
      <c r="K243"/>
      <c r="L243"/>
    </row>
    <row r="244" spans="1:12" x14ac:dyDescent="0.3">
      <c r="A244" s="1">
        <v>5243</v>
      </c>
      <c r="B244" s="3" t="s">
        <v>163</v>
      </c>
      <c r="C244" s="3" t="s">
        <v>44</v>
      </c>
      <c r="D244" s="3" t="s">
        <v>11</v>
      </c>
      <c r="E244" s="1">
        <v>87520</v>
      </c>
      <c r="F244" s="2" t="s">
        <v>461</v>
      </c>
      <c r="G244" s="3" t="s">
        <v>1534</v>
      </c>
      <c r="H244" s="1">
        <v>47</v>
      </c>
      <c r="I244" s="1">
        <v>5</v>
      </c>
      <c r="J244"/>
      <c r="K244"/>
      <c r="L244"/>
    </row>
    <row r="245" spans="1:12" x14ac:dyDescent="0.3">
      <c r="A245" s="1">
        <v>5244</v>
      </c>
      <c r="B245" s="3" t="s">
        <v>462</v>
      </c>
      <c r="C245" s="3" t="s">
        <v>63</v>
      </c>
      <c r="D245" s="3" t="s">
        <v>30</v>
      </c>
      <c r="E245" s="1">
        <v>59690</v>
      </c>
      <c r="F245" s="2" t="s">
        <v>463</v>
      </c>
      <c r="G245" s="3" t="s">
        <v>13</v>
      </c>
      <c r="H245" s="1">
        <v>43</v>
      </c>
      <c r="I245" s="1">
        <v>2</v>
      </c>
      <c r="J245"/>
      <c r="K245"/>
      <c r="L245"/>
    </row>
    <row r="246" spans="1:12" x14ac:dyDescent="0.3">
      <c r="A246" s="1">
        <v>5245</v>
      </c>
      <c r="B246" s="3" t="s">
        <v>464</v>
      </c>
      <c r="C246" s="3" t="s">
        <v>79</v>
      </c>
      <c r="D246" s="3" t="s">
        <v>87</v>
      </c>
      <c r="E246" s="1">
        <v>50626</v>
      </c>
      <c r="F246" s="2" t="s">
        <v>465</v>
      </c>
      <c r="G246" s="3" t="s">
        <v>13</v>
      </c>
      <c r="H246" s="1">
        <v>25</v>
      </c>
      <c r="I246" s="1">
        <v>2</v>
      </c>
      <c r="J246"/>
      <c r="K246"/>
      <c r="L246"/>
    </row>
    <row r="247" spans="1:12" x14ac:dyDescent="0.3">
      <c r="A247" s="1">
        <v>5246</v>
      </c>
      <c r="B247" s="3" t="s">
        <v>466</v>
      </c>
      <c r="C247" s="3" t="s">
        <v>63</v>
      </c>
      <c r="D247" s="3" t="s">
        <v>36</v>
      </c>
      <c r="E247" s="1">
        <v>57993</v>
      </c>
      <c r="F247" s="2" t="s">
        <v>467</v>
      </c>
      <c r="G247" s="3" t="s">
        <v>13</v>
      </c>
      <c r="H247" s="1">
        <v>51</v>
      </c>
      <c r="I247" s="1">
        <v>2</v>
      </c>
      <c r="J247"/>
      <c r="K247"/>
      <c r="L247"/>
    </row>
    <row r="248" spans="1:12" x14ac:dyDescent="0.3">
      <c r="A248" s="1">
        <v>5247</v>
      </c>
      <c r="B248" s="3" t="s">
        <v>468</v>
      </c>
      <c r="C248" s="3" t="s">
        <v>35</v>
      </c>
      <c r="D248" s="3" t="s">
        <v>52</v>
      </c>
      <c r="E248" s="1">
        <v>43458</v>
      </c>
      <c r="F248" s="2" t="s">
        <v>469</v>
      </c>
      <c r="G248" s="3" t="s">
        <v>13</v>
      </c>
      <c r="H248" s="1">
        <v>55</v>
      </c>
      <c r="I248" s="1">
        <v>1</v>
      </c>
      <c r="J248"/>
      <c r="K248"/>
      <c r="L248"/>
    </row>
    <row r="249" spans="1:12" x14ac:dyDescent="0.3">
      <c r="A249" s="1">
        <v>5248</v>
      </c>
      <c r="B249" s="3" t="s">
        <v>470</v>
      </c>
      <c r="C249" s="3" t="s">
        <v>39</v>
      </c>
      <c r="D249" s="3" t="s">
        <v>27</v>
      </c>
      <c r="E249" s="1">
        <v>41744</v>
      </c>
      <c r="F249" s="2" t="s">
        <v>471</v>
      </c>
      <c r="G249" s="3" t="s">
        <v>24</v>
      </c>
      <c r="H249" s="1">
        <v>24</v>
      </c>
      <c r="I249" s="1">
        <v>5</v>
      </c>
      <c r="J249"/>
      <c r="K249"/>
      <c r="L249"/>
    </row>
    <row r="250" spans="1:12" x14ac:dyDescent="0.3">
      <c r="A250" s="1">
        <v>5249</v>
      </c>
      <c r="B250" s="3" t="s">
        <v>472</v>
      </c>
      <c r="C250" s="3" t="s">
        <v>44</v>
      </c>
      <c r="D250" s="3" t="s">
        <v>16</v>
      </c>
      <c r="E250" s="1">
        <v>144132</v>
      </c>
      <c r="F250" s="2" t="s">
        <v>473</v>
      </c>
      <c r="G250" s="3" t="s">
        <v>13</v>
      </c>
      <c r="H250" s="1">
        <v>43</v>
      </c>
      <c r="I250" s="1">
        <v>4</v>
      </c>
      <c r="J250"/>
      <c r="K250"/>
      <c r="L250"/>
    </row>
    <row r="251" spans="1:12" x14ac:dyDescent="0.3">
      <c r="A251" s="1">
        <v>5250</v>
      </c>
      <c r="B251" s="3" t="s">
        <v>474</v>
      </c>
      <c r="C251" s="3" t="s">
        <v>35</v>
      </c>
      <c r="D251" s="3" t="s">
        <v>30</v>
      </c>
      <c r="E251" s="1">
        <v>133598</v>
      </c>
      <c r="F251" s="2" t="s">
        <v>475</v>
      </c>
      <c r="G251" s="3" t="s">
        <v>13</v>
      </c>
      <c r="H251" s="1">
        <v>42</v>
      </c>
      <c r="I251" s="1">
        <v>2</v>
      </c>
      <c r="J251"/>
      <c r="K251"/>
      <c r="L251"/>
    </row>
    <row r="252" spans="1:12" x14ac:dyDescent="0.3">
      <c r="A252" s="1">
        <v>5251</v>
      </c>
      <c r="B252" s="3" t="s">
        <v>476</v>
      </c>
      <c r="C252" s="3" t="s">
        <v>44</v>
      </c>
      <c r="D252" s="3" t="s">
        <v>16</v>
      </c>
      <c r="E252" s="1">
        <v>31030</v>
      </c>
      <c r="F252" s="2" t="s">
        <v>477</v>
      </c>
      <c r="G252" s="3" t="s">
        <v>24</v>
      </c>
      <c r="H252" s="1">
        <v>39</v>
      </c>
      <c r="I252" s="1">
        <v>2</v>
      </c>
      <c r="J252"/>
      <c r="K252"/>
      <c r="L252"/>
    </row>
    <row r="253" spans="1:12" x14ac:dyDescent="0.3">
      <c r="A253" s="1">
        <v>5252</v>
      </c>
      <c r="B253" s="3" t="s">
        <v>478</v>
      </c>
      <c r="C253" s="3" t="s">
        <v>35</v>
      </c>
      <c r="D253" s="3" t="s">
        <v>16</v>
      </c>
      <c r="E253" s="1">
        <v>87520</v>
      </c>
      <c r="F253" s="2" t="s">
        <v>479</v>
      </c>
      <c r="G253" s="3" t="s">
        <v>24</v>
      </c>
      <c r="H253" s="1">
        <v>39</v>
      </c>
      <c r="I253" s="1">
        <v>1</v>
      </c>
      <c r="J253"/>
      <c r="K253"/>
      <c r="L253"/>
    </row>
    <row r="254" spans="1:12" x14ac:dyDescent="0.3">
      <c r="A254" s="1">
        <v>5253</v>
      </c>
      <c r="B254" s="3" t="s">
        <v>480</v>
      </c>
      <c r="C254" s="3" t="s">
        <v>79</v>
      </c>
      <c r="D254" s="3" t="s">
        <v>27</v>
      </c>
      <c r="E254" s="1">
        <v>60760</v>
      </c>
      <c r="F254" s="2" t="s">
        <v>481</v>
      </c>
      <c r="G254" s="3" t="s">
        <v>13</v>
      </c>
      <c r="H254" s="1">
        <v>31</v>
      </c>
      <c r="I254" s="1">
        <v>3</v>
      </c>
      <c r="J254"/>
      <c r="K254"/>
      <c r="L254"/>
    </row>
    <row r="255" spans="1:12" x14ac:dyDescent="0.3">
      <c r="A255" s="1">
        <v>5254</v>
      </c>
      <c r="B255" s="3" t="s">
        <v>482</v>
      </c>
      <c r="C255" s="3" t="s">
        <v>44</v>
      </c>
      <c r="D255" s="3" t="s">
        <v>27</v>
      </c>
      <c r="E255" s="1">
        <v>66409</v>
      </c>
      <c r="F255" s="2" t="s">
        <v>483</v>
      </c>
      <c r="G255" s="3" t="s">
        <v>13</v>
      </c>
      <c r="H255" s="1">
        <v>22</v>
      </c>
      <c r="I255" s="1">
        <v>5</v>
      </c>
      <c r="J255"/>
      <c r="K255"/>
      <c r="L255"/>
    </row>
    <row r="256" spans="1:12" x14ac:dyDescent="0.3">
      <c r="A256" s="1">
        <v>5255</v>
      </c>
      <c r="B256" s="3" t="s">
        <v>484</v>
      </c>
      <c r="C256" s="3" t="s">
        <v>44</v>
      </c>
      <c r="D256" s="3" t="s">
        <v>30</v>
      </c>
      <c r="E256" s="1">
        <v>50296</v>
      </c>
      <c r="F256" s="2" t="s">
        <v>485</v>
      </c>
      <c r="G256" s="3" t="s">
        <v>24</v>
      </c>
      <c r="H256" s="1">
        <v>24</v>
      </c>
      <c r="I256" s="1">
        <v>5</v>
      </c>
      <c r="J256"/>
      <c r="K256"/>
      <c r="L256"/>
    </row>
    <row r="257" spans="1:12" x14ac:dyDescent="0.3">
      <c r="A257" s="1">
        <v>5256</v>
      </c>
      <c r="B257" s="3" t="s">
        <v>486</v>
      </c>
      <c r="C257" s="3" t="s">
        <v>44</v>
      </c>
      <c r="D257" s="3" t="s">
        <v>87</v>
      </c>
      <c r="E257" s="1">
        <v>111119</v>
      </c>
      <c r="F257" s="2" t="s">
        <v>487</v>
      </c>
      <c r="G257" s="3" t="s">
        <v>13</v>
      </c>
      <c r="H257" s="1">
        <v>32</v>
      </c>
      <c r="I257" s="1">
        <v>2</v>
      </c>
      <c r="J257"/>
      <c r="K257"/>
      <c r="L257"/>
    </row>
    <row r="258" spans="1:12" x14ac:dyDescent="0.3">
      <c r="A258" s="1">
        <v>5257</v>
      </c>
      <c r="B258" s="3" t="s">
        <v>488</v>
      </c>
      <c r="C258" s="3" t="s">
        <v>15</v>
      </c>
      <c r="D258" s="3" t="s">
        <v>61</v>
      </c>
      <c r="E258" s="1">
        <v>44753</v>
      </c>
      <c r="F258" s="2" t="s">
        <v>489</v>
      </c>
      <c r="G258" s="3" t="s">
        <v>24</v>
      </c>
      <c r="H258" s="1">
        <v>36</v>
      </c>
      <c r="I258" s="1">
        <v>5</v>
      </c>
      <c r="J258"/>
      <c r="K258"/>
      <c r="L258"/>
    </row>
    <row r="259" spans="1:12" x14ac:dyDescent="0.3">
      <c r="A259" s="1">
        <v>5258</v>
      </c>
      <c r="B259" s="3" t="s">
        <v>490</v>
      </c>
      <c r="C259" s="3" t="s">
        <v>79</v>
      </c>
      <c r="D259" s="3" t="s">
        <v>61</v>
      </c>
      <c r="E259" s="1">
        <v>76985</v>
      </c>
      <c r="F259" s="2" t="s">
        <v>491</v>
      </c>
      <c r="G259" s="3" t="s">
        <v>24</v>
      </c>
      <c r="H259" s="1">
        <v>50</v>
      </c>
      <c r="I259" s="1">
        <v>3</v>
      </c>
      <c r="J259"/>
      <c r="K259"/>
      <c r="L259"/>
    </row>
    <row r="260" spans="1:12" x14ac:dyDescent="0.3">
      <c r="A260" s="1">
        <v>5259</v>
      </c>
      <c r="B260" s="3" t="s">
        <v>492</v>
      </c>
      <c r="C260" s="3" t="s">
        <v>44</v>
      </c>
      <c r="D260" s="3" t="s">
        <v>87</v>
      </c>
      <c r="E260" s="1">
        <v>62530</v>
      </c>
      <c r="F260" s="2" t="s">
        <v>493</v>
      </c>
      <c r="G260" s="3" t="s">
        <v>24</v>
      </c>
      <c r="H260" s="1">
        <v>48</v>
      </c>
      <c r="I260" s="1">
        <v>5</v>
      </c>
      <c r="J260"/>
      <c r="K260"/>
      <c r="L260"/>
    </row>
    <row r="261" spans="1:12" x14ac:dyDescent="0.3">
      <c r="A261" s="1">
        <v>5260</v>
      </c>
      <c r="B261" s="3" t="s">
        <v>60</v>
      </c>
      <c r="C261" s="3" t="s">
        <v>63</v>
      </c>
      <c r="D261" s="3" t="s">
        <v>49</v>
      </c>
      <c r="E261" s="1">
        <v>32193</v>
      </c>
      <c r="F261" s="2" t="s">
        <v>494</v>
      </c>
      <c r="G261" s="3" t="s">
        <v>24</v>
      </c>
      <c r="H261" s="1">
        <v>51</v>
      </c>
      <c r="I261" s="1">
        <v>3</v>
      </c>
      <c r="J261"/>
      <c r="K261"/>
      <c r="L261"/>
    </row>
    <row r="262" spans="1:12" x14ac:dyDescent="0.3">
      <c r="A262" s="1">
        <v>5261</v>
      </c>
      <c r="B262" s="3" t="s">
        <v>446</v>
      </c>
      <c r="C262" s="3" t="s">
        <v>70</v>
      </c>
      <c r="D262" s="3" t="s">
        <v>36</v>
      </c>
      <c r="E262" s="1">
        <v>124273</v>
      </c>
      <c r="F262" s="2" t="s">
        <v>495</v>
      </c>
      <c r="G262" s="3" t="s">
        <v>13</v>
      </c>
      <c r="H262" s="1">
        <v>39</v>
      </c>
      <c r="I262" s="1">
        <v>3</v>
      </c>
      <c r="J262"/>
      <c r="K262"/>
      <c r="L262"/>
    </row>
    <row r="263" spans="1:12" x14ac:dyDescent="0.3">
      <c r="A263" s="1">
        <v>5262</v>
      </c>
      <c r="B263" s="3" t="s">
        <v>496</v>
      </c>
      <c r="C263" s="3" t="s">
        <v>79</v>
      </c>
      <c r="D263" s="3" t="s">
        <v>36</v>
      </c>
      <c r="E263" s="1">
        <v>112122</v>
      </c>
      <c r="F263" s="2" t="s">
        <v>497</v>
      </c>
      <c r="G263" s="3" t="s">
        <v>24</v>
      </c>
      <c r="H263" s="1">
        <v>50</v>
      </c>
      <c r="I263" s="1">
        <v>5</v>
      </c>
      <c r="J263"/>
      <c r="K263"/>
      <c r="L263"/>
    </row>
    <row r="264" spans="1:12" x14ac:dyDescent="0.3">
      <c r="A264" s="1">
        <v>5263</v>
      </c>
      <c r="B264" s="3" t="s">
        <v>351</v>
      </c>
      <c r="C264" s="3" t="s">
        <v>15</v>
      </c>
      <c r="D264" s="3" t="s">
        <v>36</v>
      </c>
      <c r="E264" s="1">
        <v>106826</v>
      </c>
      <c r="F264" s="2" t="s">
        <v>498</v>
      </c>
      <c r="G264" s="3" t="s">
        <v>24</v>
      </c>
      <c r="H264" s="1">
        <v>28</v>
      </c>
      <c r="I264" s="1">
        <v>3</v>
      </c>
      <c r="J264"/>
      <c r="K264"/>
      <c r="L264"/>
    </row>
    <row r="265" spans="1:12" x14ac:dyDescent="0.3">
      <c r="A265" s="1">
        <v>5264</v>
      </c>
      <c r="B265" s="3" t="s">
        <v>89</v>
      </c>
      <c r="C265" s="3" t="s">
        <v>79</v>
      </c>
      <c r="D265" s="3" t="s">
        <v>16</v>
      </c>
      <c r="E265" s="1">
        <v>141641</v>
      </c>
      <c r="F265" s="2" t="s">
        <v>499</v>
      </c>
      <c r="G265" s="3" t="s">
        <v>24</v>
      </c>
      <c r="H265" s="1">
        <v>36</v>
      </c>
      <c r="I265" s="1">
        <v>3</v>
      </c>
      <c r="J265"/>
      <c r="K265"/>
      <c r="L265"/>
    </row>
    <row r="266" spans="1:12" x14ac:dyDescent="0.3">
      <c r="A266" s="1">
        <v>5265</v>
      </c>
      <c r="B266" s="3" t="s">
        <v>500</v>
      </c>
      <c r="C266" s="3" t="s">
        <v>10</v>
      </c>
      <c r="D266" s="3" t="s">
        <v>16</v>
      </c>
      <c r="E266" s="1">
        <v>88207</v>
      </c>
      <c r="F266" s="2" t="s">
        <v>501</v>
      </c>
      <c r="G266" s="3" t="s">
        <v>24</v>
      </c>
      <c r="H266" s="1">
        <v>52</v>
      </c>
      <c r="I266" s="1">
        <v>3</v>
      </c>
      <c r="J266"/>
      <c r="K266"/>
      <c r="L266"/>
    </row>
    <row r="267" spans="1:12" x14ac:dyDescent="0.3">
      <c r="A267" s="1">
        <v>5266</v>
      </c>
      <c r="B267" s="3" t="s">
        <v>502</v>
      </c>
      <c r="C267" s="3" t="s">
        <v>79</v>
      </c>
      <c r="D267" s="3" t="s">
        <v>36</v>
      </c>
      <c r="E267" s="1">
        <v>84033</v>
      </c>
      <c r="F267" s="2" t="s">
        <v>503</v>
      </c>
      <c r="G267" s="3" t="s">
        <v>13</v>
      </c>
      <c r="H267" s="1">
        <v>26</v>
      </c>
      <c r="I267" s="1">
        <v>1</v>
      </c>
      <c r="J267"/>
      <c r="K267"/>
      <c r="L267"/>
    </row>
    <row r="268" spans="1:12" x14ac:dyDescent="0.3">
      <c r="A268" s="1">
        <v>5267</v>
      </c>
      <c r="B268" s="3" t="s">
        <v>504</v>
      </c>
      <c r="C268" s="3" t="s">
        <v>79</v>
      </c>
      <c r="D268" s="3" t="s">
        <v>87</v>
      </c>
      <c r="E268" s="1">
        <v>144476</v>
      </c>
      <c r="F268" s="2" t="s">
        <v>346</v>
      </c>
      <c r="G268" s="3" t="s">
        <v>13</v>
      </c>
      <c r="H268" s="1">
        <v>51</v>
      </c>
      <c r="I268" s="1">
        <v>4</v>
      </c>
      <c r="J268"/>
      <c r="K268"/>
      <c r="L268"/>
    </row>
    <row r="269" spans="1:12" x14ac:dyDescent="0.3">
      <c r="A269" s="1">
        <v>5268</v>
      </c>
      <c r="B269" s="3" t="s">
        <v>325</v>
      </c>
      <c r="C269" s="3" t="s">
        <v>39</v>
      </c>
      <c r="D269" s="3" t="s">
        <v>20</v>
      </c>
      <c r="E269" s="1">
        <v>31727</v>
      </c>
      <c r="F269" s="2" t="s">
        <v>505</v>
      </c>
      <c r="G269" s="3" t="s">
        <v>13</v>
      </c>
      <c r="H269" s="1">
        <v>26</v>
      </c>
      <c r="I269" s="1">
        <v>3</v>
      </c>
      <c r="J269"/>
      <c r="K269"/>
      <c r="L269"/>
    </row>
    <row r="270" spans="1:12" x14ac:dyDescent="0.3">
      <c r="A270" s="1">
        <v>5269</v>
      </c>
      <c r="B270" s="3" t="s">
        <v>506</v>
      </c>
      <c r="C270" s="3" t="s">
        <v>15</v>
      </c>
      <c r="D270" s="3" t="s">
        <v>11</v>
      </c>
      <c r="E270" s="1">
        <v>104756</v>
      </c>
      <c r="F270" s="2" t="s">
        <v>507</v>
      </c>
      <c r="G270" s="3" t="s">
        <v>24</v>
      </c>
      <c r="H270" s="1">
        <v>23</v>
      </c>
      <c r="I270" s="1">
        <v>2</v>
      </c>
      <c r="J270"/>
      <c r="K270"/>
      <c r="L270"/>
    </row>
    <row r="271" spans="1:12" x14ac:dyDescent="0.3">
      <c r="A271" s="1">
        <v>5270</v>
      </c>
      <c r="B271" s="3" t="s">
        <v>508</v>
      </c>
      <c r="C271" s="3" t="s">
        <v>10</v>
      </c>
      <c r="D271" s="3" t="s">
        <v>16</v>
      </c>
      <c r="E271" s="1">
        <v>138680</v>
      </c>
      <c r="F271" s="2" t="s">
        <v>509</v>
      </c>
      <c r="G271" s="3" t="s">
        <v>24</v>
      </c>
      <c r="H271" s="1">
        <v>53</v>
      </c>
      <c r="I271" s="1">
        <v>3</v>
      </c>
      <c r="J271"/>
      <c r="K271"/>
      <c r="L271"/>
    </row>
    <row r="272" spans="1:12" x14ac:dyDescent="0.3">
      <c r="A272" s="1">
        <v>5271</v>
      </c>
      <c r="B272" s="3" t="s">
        <v>476</v>
      </c>
      <c r="C272" s="3" t="s">
        <v>70</v>
      </c>
      <c r="D272" s="3" t="s">
        <v>61</v>
      </c>
      <c r="E272" s="1">
        <v>145442</v>
      </c>
      <c r="F272" s="2" t="s">
        <v>510</v>
      </c>
      <c r="G272" s="3" t="s">
        <v>24</v>
      </c>
      <c r="H272" s="1">
        <v>53</v>
      </c>
      <c r="I272" s="1">
        <v>3</v>
      </c>
      <c r="J272"/>
      <c r="K272"/>
      <c r="L272"/>
    </row>
    <row r="273" spans="1:12" x14ac:dyDescent="0.3">
      <c r="A273" s="1">
        <v>5272</v>
      </c>
      <c r="B273" s="3" t="s">
        <v>511</v>
      </c>
      <c r="C273" s="3" t="s">
        <v>70</v>
      </c>
      <c r="D273" s="3" t="s">
        <v>49</v>
      </c>
      <c r="E273" s="1">
        <v>85657</v>
      </c>
      <c r="F273" s="2" t="s">
        <v>512</v>
      </c>
      <c r="G273" s="3" t="s">
        <v>13</v>
      </c>
      <c r="H273" s="1">
        <v>26</v>
      </c>
      <c r="I273" s="1">
        <v>5</v>
      </c>
      <c r="J273"/>
      <c r="K273"/>
      <c r="L273"/>
    </row>
    <row r="274" spans="1:12" x14ac:dyDescent="0.3">
      <c r="A274" s="1">
        <v>5273</v>
      </c>
      <c r="B274" s="3" t="s">
        <v>513</v>
      </c>
      <c r="C274" s="3" t="s">
        <v>79</v>
      </c>
      <c r="D274" s="3" t="s">
        <v>11</v>
      </c>
      <c r="E274" s="1">
        <v>36421</v>
      </c>
      <c r="F274" s="2" t="s">
        <v>514</v>
      </c>
      <c r="G274" s="3" t="s">
        <v>24</v>
      </c>
      <c r="H274" s="1">
        <v>48</v>
      </c>
      <c r="I274" s="1">
        <v>1</v>
      </c>
      <c r="J274"/>
      <c r="K274"/>
      <c r="L274"/>
    </row>
    <row r="275" spans="1:12" x14ac:dyDescent="0.3">
      <c r="A275" s="1">
        <v>5274</v>
      </c>
      <c r="B275" s="3" t="s">
        <v>515</v>
      </c>
      <c r="C275" s="3" t="s">
        <v>35</v>
      </c>
      <c r="D275" s="3" t="s">
        <v>87</v>
      </c>
      <c r="E275" s="1">
        <v>105777</v>
      </c>
      <c r="F275" s="2" t="s">
        <v>516</v>
      </c>
      <c r="G275" s="3" t="s">
        <v>24</v>
      </c>
      <c r="H275" s="1">
        <v>23</v>
      </c>
      <c r="I275" s="1">
        <v>1</v>
      </c>
      <c r="J275"/>
      <c r="K275"/>
      <c r="L275"/>
    </row>
    <row r="276" spans="1:12" x14ac:dyDescent="0.3">
      <c r="A276" s="1">
        <v>5275</v>
      </c>
      <c r="B276" s="3" t="s">
        <v>260</v>
      </c>
      <c r="C276" s="3" t="s">
        <v>19</v>
      </c>
      <c r="D276" s="3" t="s">
        <v>16</v>
      </c>
      <c r="E276" s="1">
        <v>145933</v>
      </c>
      <c r="F276" s="2" t="s">
        <v>517</v>
      </c>
      <c r="G276" s="3" t="s">
        <v>24</v>
      </c>
      <c r="H276" s="1">
        <v>30</v>
      </c>
      <c r="I276" s="1">
        <v>5</v>
      </c>
      <c r="J276"/>
      <c r="K276"/>
      <c r="L276"/>
    </row>
    <row r="277" spans="1:12" x14ac:dyDescent="0.3">
      <c r="A277" s="1">
        <v>5276</v>
      </c>
      <c r="B277" s="3" t="s">
        <v>484</v>
      </c>
      <c r="C277" s="3" t="s">
        <v>35</v>
      </c>
      <c r="D277" s="3" t="s">
        <v>87</v>
      </c>
      <c r="E277" s="1">
        <v>87520</v>
      </c>
      <c r="F277" s="2" t="s">
        <v>518</v>
      </c>
      <c r="G277" s="3" t="s">
        <v>24</v>
      </c>
      <c r="H277" s="1">
        <v>44</v>
      </c>
      <c r="I277" s="1">
        <v>5</v>
      </c>
      <c r="J277"/>
      <c r="K277"/>
      <c r="L277"/>
    </row>
    <row r="278" spans="1:12" x14ac:dyDescent="0.3">
      <c r="A278" s="1">
        <v>5277</v>
      </c>
      <c r="B278" s="3" t="s">
        <v>519</v>
      </c>
      <c r="C278" s="3" t="s">
        <v>19</v>
      </c>
      <c r="D278" s="3" t="s">
        <v>87</v>
      </c>
      <c r="E278" s="1">
        <v>32490</v>
      </c>
      <c r="F278" s="2" t="s">
        <v>520</v>
      </c>
      <c r="G278" s="3" t="s">
        <v>13</v>
      </c>
      <c r="H278" s="1">
        <v>50</v>
      </c>
      <c r="I278" s="1">
        <v>5</v>
      </c>
      <c r="J278"/>
      <c r="K278"/>
      <c r="L278"/>
    </row>
    <row r="279" spans="1:12" x14ac:dyDescent="0.3">
      <c r="A279" s="1">
        <v>5278</v>
      </c>
      <c r="B279" s="3" t="s">
        <v>521</v>
      </c>
      <c r="C279" s="3" t="s">
        <v>15</v>
      </c>
      <c r="D279" s="3" t="s">
        <v>61</v>
      </c>
      <c r="E279" s="1">
        <v>32067</v>
      </c>
      <c r="F279" s="2" t="s">
        <v>522</v>
      </c>
      <c r="G279" s="3" t="s">
        <v>24</v>
      </c>
      <c r="H279" s="1">
        <v>44</v>
      </c>
      <c r="I279" s="1">
        <v>2</v>
      </c>
      <c r="J279"/>
      <c r="K279"/>
      <c r="L279"/>
    </row>
    <row r="280" spans="1:12" x14ac:dyDescent="0.3">
      <c r="A280" s="1">
        <v>5279</v>
      </c>
      <c r="B280" s="3" t="s">
        <v>434</v>
      </c>
      <c r="C280" s="3" t="s">
        <v>79</v>
      </c>
      <c r="D280" s="3" t="s">
        <v>11</v>
      </c>
      <c r="E280" s="1">
        <v>140864</v>
      </c>
      <c r="F280" s="2" t="s">
        <v>523</v>
      </c>
      <c r="G280" s="3" t="s">
        <v>13</v>
      </c>
      <c r="H280" s="1">
        <v>49</v>
      </c>
      <c r="I280" s="1">
        <v>2</v>
      </c>
      <c r="J280"/>
      <c r="K280"/>
      <c r="L280"/>
    </row>
    <row r="281" spans="1:12" x14ac:dyDescent="0.3">
      <c r="A281" s="1">
        <v>5280</v>
      </c>
      <c r="B281" s="3" t="s">
        <v>524</v>
      </c>
      <c r="C281" s="3" t="s">
        <v>70</v>
      </c>
      <c r="D281" s="3" t="s">
        <v>87</v>
      </c>
      <c r="E281" s="1">
        <v>38162</v>
      </c>
      <c r="F281" s="2" t="s">
        <v>525</v>
      </c>
      <c r="G281" s="3" t="s">
        <v>24</v>
      </c>
      <c r="H281" s="1">
        <v>52</v>
      </c>
      <c r="I281" s="1">
        <v>5</v>
      </c>
      <c r="J281"/>
      <c r="K281"/>
      <c r="L281"/>
    </row>
    <row r="282" spans="1:12" x14ac:dyDescent="0.3">
      <c r="A282" s="1">
        <v>5281</v>
      </c>
      <c r="B282" s="3" t="s">
        <v>526</v>
      </c>
      <c r="C282" s="3" t="s">
        <v>63</v>
      </c>
      <c r="D282" s="3" t="s">
        <v>16</v>
      </c>
      <c r="E282" s="1">
        <v>138721</v>
      </c>
      <c r="F282" s="2" t="s">
        <v>527</v>
      </c>
      <c r="G282" s="3" t="s">
        <v>13</v>
      </c>
      <c r="H282" s="1">
        <v>47</v>
      </c>
      <c r="I282" s="1">
        <v>4</v>
      </c>
      <c r="J282"/>
      <c r="K282"/>
      <c r="L282"/>
    </row>
    <row r="283" spans="1:12" x14ac:dyDescent="0.3">
      <c r="A283" s="1">
        <v>5282</v>
      </c>
      <c r="B283" s="3" t="s">
        <v>528</v>
      </c>
      <c r="C283" s="3" t="s">
        <v>35</v>
      </c>
      <c r="D283" s="3" t="s">
        <v>49</v>
      </c>
      <c r="E283" s="1">
        <v>83253</v>
      </c>
      <c r="F283" s="2" t="s">
        <v>529</v>
      </c>
      <c r="G283" s="3" t="s">
        <v>24</v>
      </c>
      <c r="H283" s="1">
        <v>53</v>
      </c>
      <c r="I283" s="1">
        <v>1</v>
      </c>
      <c r="J283"/>
      <c r="K283"/>
      <c r="L283"/>
    </row>
    <row r="284" spans="1:12" x14ac:dyDescent="0.3">
      <c r="A284" s="1">
        <v>5283</v>
      </c>
      <c r="B284" s="3" t="s">
        <v>530</v>
      </c>
      <c r="C284" s="3" t="s">
        <v>26</v>
      </c>
      <c r="D284" s="3" t="s">
        <v>49</v>
      </c>
      <c r="E284" s="1">
        <v>70473</v>
      </c>
      <c r="F284" s="2" t="s">
        <v>531</v>
      </c>
      <c r="G284" s="3" t="s">
        <v>13</v>
      </c>
      <c r="H284" s="1">
        <v>22</v>
      </c>
      <c r="I284" s="1">
        <v>5</v>
      </c>
      <c r="J284"/>
      <c r="K284"/>
      <c r="L284"/>
    </row>
    <row r="285" spans="1:12" x14ac:dyDescent="0.3">
      <c r="A285" s="1">
        <v>5284</v>
      </c>
      <c r="B285" s="3" t="s">
        <v>532</v>
      </c>
      <c r="C285" s="3" t="s">
        <v>26</v>
      </c>
      <c r="D285" s="3" t="s">
        <v>11</v>
      </c>
      <c r="E285" s="1">
        <v>59419</v>
      </c>
      <c r="F285" s="2" t="s">
        <v>533</v>
      </c>
      <c r="G285" s="3" t="s">
        <v>13</v>
      </c>
      <c r="H285" s="1">
        <v>47</v>
      </c>
      <c r="I285" s="1">
        <v>1</v>
      </c>
      <c r="J285"/>
      <c r="K285"/>
      <c r="L285"/>
    </row>
    <row r="286" spans="1:12" x14ac:dyDescent="0.3">
      <c r="A286" s="1">
        <v>5285</v>
      </c>
      <c r="B286" s="3" t="s">
        <v>534</v>
      </c>
      <c r="C286" s="3" t="s">
        <v>39</v>
      </c>
      <c r="D286" s="3" t="s">
        <v>49</v>
      </c>
      <c r="E286" s="1">
        <v>142187</v>
      </c>
      <c r="F286" s="2" t="s">
        <v>535</v>
      </c>
      <c r="G286" s="3" t="s">
        <v>24</v>
      </c>
      <c r="H286" s="1">
        <v>47</v>
      </c>
      <c r="I286" s="1">
        <v>1</v>
      </c>
      <c r="J286"/>
      <c r="K286"/>
      <c r="L286"/>
    </row>
    <row r="287" spans="1:12" x14ac:dyDescent="0.3">
      <c r="A287" s="1">
        <v>5286</v>
      </c>
      <c r="B287" s="3" t="s">
        <v>439</v>
      </c>
      <c r="C287" s="3" t="s">
        <v>19</v>
      </c>
      <c r="D287" s="3" t="s">
        <v>11</v>
      </c>
      <c r="E287" s="1">
        <v>83784</v>
      </c>
      <c r="F287" s="2" t="s">
        <v>536</v>
      </c>
      <c r="G287" s="3" t="s">
        <v>24</v>
      </c>
      <c r="H287" s="1">
        <v>54</v>
      </c>
      <c r="I287" s="1">
        <v>1</v>
      </c>
      <c r="J287"/>
      <c r="K287"/>
      <c r="L287"/>
    </row>
    <row r="288" spans="1:12" x14ac:dyDescent="0.3">
      <c r="A288" s="1">
        <v>5287</v>
      </c>
      <c r="B288" s="3" t="s">
        <v>537</v>
      </c>
      <c r="C288" s="3" t="s">
        <v>35</v>
      </c>
      <c r="D288" s="3" t="s">
        <v>20</v>
      </c>
      <c r="E288" s="1">
        <v>95956</v>
      </c>
      <c r="F288" s="2" t="s">
        <v>538</v>
      </c>
      <c r="G288" s="3" t="s">
        <v>24</v>
      </c>
      <c r="H288" s="1">
        <v>46</v>
      </c>
      <c r="I288" s="1">
        <v>3</v>
      </c>
      <c r="J288"/>
      <c r="K288"/>
      <c r="L288"/>
    </row>
    <row r="289" spans="1:12" x14ac:dyDescent="0.3">
      <c r="A289" s="1">
        <v>5288</v>
      </c>
      <c r="B289" s="3" t="s">
        <v>185</v>
      </c>
      <c r="C289" s="3" t="s">
        <v>63</v>
      </c>
      <c r="D289" s="3" t="s">
        <v>52</v>
      </c>
      <c r="E289" s="1">
        <v>84030</v>
      </c>
      <c r="F289" s="2" t="s">
        <v>539</v>
      </c>
      <c r="G289" s="3" t="s">
        <v>13</v>
      </c>
      <c r="H289" s="1">
        <v>29</v>
      </c>
      <c r="I289" s="1">
        <v>5</v>
      </c>
      <c r="J289"/>
      <c r="K289"/>
      <c r="L289"/>
    </row>
    <row r="290" spans="1:12" x14ac:dyDescent="0.3">
      <c r="A290" s="1">
        <v>5289</v>
      </c>
      <c r="B290" s="3" t="s">
        <v>291</v>
      </c>
      <c r="C290" s="3" t="s">
        <v>39</v>
      </c>
      <c r="D290" s="3" t="s">
        <v>16</v>
      </c>
      <c r="E290" s="1">
        <v>145903</v>
      </c>
      <c r="F290" s="2" t="s">
        <v>540</v>
      </c>
      <c r="G290" s="3" t="s">
        <v>24</v>
      </c>
      <c r="H290" s="1">
        <v>53</v>
      </c>
      <c r="I290" s="1">
        <v>2</v>
      </c>
      <c r="J290"/>
      <c r="K290"/>
      <c r="L290"/>
    </row>
    <row r="291" spans="1:12" x14ac:dyDescent="0.3">
      <c r="A291" s="1">
        <v>5290</v>
      </c>
      <c r="B291" s="3" t="s">
        <v>220</v>
      </c>
      <c r="C291" s="3" t="s">
        <v>79</v>
      </c>
      <c r="D291" s="3" t="s">
        <v>20</v>
      </c>
      <c r="E291" s="1">
        <v>70825</v>
      </c>
      <c r="F291" s="2" t="s">
        <v>541</v>
      </c>
      <c r="G291" s="3" t="s">
        <v>13</v>
      </c>
      <c r="H291" s="1">
        <v>48</v>
      </c>
      <c r="I291" s="1">
        <v>3</v>
      </c>
      <c r="J291"/>
      <c r="K291"/>
      <c r="L291"/>
    </row>
    <row r="292" spans="1:12" x14ac:dyDescent="0.3">
      <c r="A292" s="1">
        <v>5291</v>
      </c>
      <c r="B292" s="3" t="s">
        <v>542</v>
      </c>
      <c r="C292" s="3" t="s">
        <v>35</v>
      </c>
      <c r="D292" s="3" t="s">
        <v>11</v>
      </c>
      <c r="E292" s="1">
        <v>44278</v>
      </c>
      <c r="F292" s="2" t="s">
        <v>201</v>
      </c>
      <c r="G292" s="3" t="s">
        <v>24</v>
      </c>
      <c r="H292" s="1">
        <v>54</v>
      </c>
      <c r="I292" s="1">
        <v>2</v>
      </c>
      <c r="J292"/>
      <c r="K292"/>
      <c r="L292"/>
    </row>
    <row r="293" spans="1:12" x14ac:dyDescent="0.3">
      <c r="A293" s="1">
        <v>5292</v>
      </c>
      <c r="B293" s="3" t="s">
        <v>543</v>
      </c>
      <c r="C293" s="3" t="s">
        <v>19</v>
      </c>
      <c r="D293" s="3" t="s">
        <v>11</v>
      </c>
      <c r="E293" s="1">
        <v>87520</v>
      </c>
      <c r="F293" s="2" t="s">
        <v>544</v>
      </c>
      <c r="G293" s="3" t="s">
        <v>24</v>
      </c>
      <c r="H293" s="1">
        <v>29</v>
      </c>
      <c r="I293" s="1">
        <v>3</v>
      </c>
      <c r="J293"/>
      <c r="K293"/>
      <c r="L293"/>
    </row>
    <row r="294" spans="1:12" x14ac:dyDescent="0.3">
      <c r="A294" s="1">
        <v>5293</v>
      </c>
      <c r="B294" s="3" t="s">
        <v>545</v>
      </c>
      <c r="C294" s="3" t="s">
        <v>19</v>
      </c>
      <c r="D294" s="3" t="s">
        <v>27</v>
      </c>
      <c r="E294" s="1">
        <v>44511</v>
      </c>
      <c r="F294" s="2" t="s">
        <v>546</v>
      </c>
      <c r="G294" s="3" t="s">
        <v>13</v>
      </c>
      <c r="H294" s="1">
        <v>42</v>
      </c>
      <c r="I294" s="1">
        <v>2</v>
      </c>
      <c r="J294"/>
      <c r="K294"/>
      <c r="L294"/>
    </row>
    <row r="295" spans="1:12" x14ac:dyDescent="0.3">
      <c r="A295" s="1">
        <v>5294</v>
      </c>
      <c r="B295" s="3" t="s">
        <v>547</v>
      </c>
      <c r="C295" s="3" t="s">
        <v>39</v>
      </c>
      <c r="D295" s="3" t="s">
        <v>30</v>
      </c>
      <c r="E295" s="1">
        <v>101263</v>
      </c>
      <c r="F295" s="2" t="s">
        <v>548</v>
      </c>
      <c r="G295" s="3" t="s">
        <v>24</v>
      </c>
      <c r="H295" s="1">
        <v>51</v>
      </c>
      <c r="I295" s="1">
        <v>1</v>
      </c>
      <c r="J295"/>
      <c r="K295"/>
      <c r="L295"/>
    </row>
    <row r="296" spans="1:12" x14ac:dyDescent="0.3">
      <c r="A296" s="1">
        <v>5295</v>
      </c>
      <c r="B296" s="3" t="s">
        <v>900</v>
      </c>
      <c r="C296" s="3" t="s">
        <v>26</v>
      </c>
      <c r="D296" s="3" t="s">
        <v>20</v>
      </c>
      <c r="E296" s="1">
        <v>75653</v>
      </c>
      <c r="F296" s="2" t="s">
        <v>549</v>
      </c>
      <c r="G296" s="3" t="s">
        <v>13</v>
      </c>
      <c r="H296" s="1">
        <v>31</v>
      </c>
      <c r="I296" s="1">
        <v>2</v>
      </c>
      <c r="J296"/>
      <c r="K296"/>
      <c r="L296"/>
    </row>
    <row r="297" spans="1:12" x14ac:dyDescent="0.3">
      <c r="A297" s="1">
        <v>5296</v>
      </c>
      <c r="B297" s="3" t="s">
        <v>550</v>
      </c>
      <c r="C297" s="3" t="s">
        <v>44</v>
      </c>
      <c r="D297" s="3" t="s">
        <v>30</v>
      </c>
      <c r="E297" s="1">
        <v>58174</v>
      </c>
      <c r="F297" s="2" t="s">
        <v>551</v>
      </c>
      <c r="G297" s="3" t="s">
        <v>24</v>
      </c>
      <c r="H297" s="1">
        <v>53</v>
      </c>
      <c r="I297" s="1">
        <v>5</v>
      </c>
      <c r="J297"/>
      <c r="K297"/>
      <c r="L297"/>
    </row>
    <row r="298" spans="1:12" x14ac:dyDescent="0.3">
      <c r="A298" s="1">
        <v>5297</v>
      </c>
      <c r="B298" s="3" t="s">
        <v>552</v>
      </c>
      <c r="C298" s="3" t="s">
        <v>44</v>
      </c>
      <c r="D298" s="3" t="s">
        <v>20</v>
      </c>
      <c r="E298" s="1">
        <v>80568</v>
      </c>
      <c r="F298" s="2" t="s">
        <v>553</v>
      </c>
      <c r="G298" s="3" t="s">
        <v>24</v>
      </c>
      <c r="H298" s="1">
        <v>38</v>
      </c>
      <c r="I298" s="1">
        <v>5</v>
      </c>
      <c r="J298"/>
      <c r="K298"/>
      <c r="L298"/>
    </row>
    <row r="299" spans="1:12" x14ac:dyDescent="0.3">
      <c r="A299" s="1">
        <v>5298</v>
      </c>
      <c r="B299" s="3" t="s">
        <v>554</v>
      </c>
      <c r="C299" s="3" t="s">
        <v>19</v>
      </c>
      <c r="D299" s="3" t="s">
        <v>20</v>
      </c>
      <c r="E299" s="1">
        <v>115669</v>
      </c>
      <c r="F299" s="2" t="s">
        <v>555</v>
      </c>
      <c r="G299" s="3" t="s">
        <v>13</v>
      </c>
      <c r="H299" s="1">
        <v>42</v>
      </c>
      <c r="I299" s="1">
        <v>4</v>
      </c>
      <c r="J299"/>
      <c r="K299"/>
      <c r="L299"/>
    </row>
    <row r="300" spans="1:12" x14ac:dyDescent="0.3">
      <c r="A300" s="1">
        <v>5299</v>
      </c>
      <c r="B300" s="3" t="s">
        <v>556</v>
      </c>
      <c r="C300" s="3" t="s">
        <v>79</v>
      </c>
      <c r="D300" s="3" t="s">
        <v>87</v>
      </c>
      <c r="E300" s="1">
        <v>129353</v>
      </c>
      <c r="F300" s="2" t="s">
        <v>557</v>
      </c>
      <c r="G300" s="3" t="s">
        <v>24</v>
      </c>
      <c r="H300" s="1">
        <v>55</v>
      </c>
      <c r="I300" s="1">
        <v>1</v>
      </c>
      <c r="J300"/>
      <c r="K300"/>
      <c r="L300"/>
    </row>
    <row r="301" spans="1:12" x14ac:dyDescent="0.3">
      <c r="A301" s="1">
        <v>5300</v>
      </c>
      <c r="B301" s="3" t="s">
        <v>558</v>
      </c>
      <c r="C301" s="3" t="s">
        <v>19</v>
      </c>
      <c r="D301" s="3" t="s">
        <v>36</v>
      </c>
      <c r="E301" s="1">
        <v>120254</v>
      </c>
      <c r="F301" s="2" t="s">
        <v>420</v>
      </c>
      <c r="G301" s="3" t="s">
        <v>13</v>
      </c>
      <c r="H301" s="1">
        <v>24</v>
      </c>
      <c r="I301" s="1">
        <v>3</v>
      </c>
      <c r="J301"/>
      <c r="K301"/>
      <c r="L301"/>
    </row>
    <row r="302" spans="1:12" x14ac:dyDescent="0.3">
      <c r="A302" s="1">
        <v>5301</v>
      </c>
      <c r="B302" s="3" t="s">
        <v>559</v>
      </c>
      <c r="C302" s="3" t="s">
        <v>44</v>
      </c>
      <c r="D302" s="3" t="s">
        <v>27</v>
      </c>
      <c r="E302" s="1">
        <v>72704</v>
      </c>
      <c r="F302" s="2" t="s">
        <v>560</v>
      </c>
      <c r="G302" s="3" t="s">
        <v>13</v>
      </c>
      <c r="H302" s="1">
        <v>45</v>
      </c>
      <c r="I302" s="1">
        <v>2</v>
      </c>
      <c r="J302"/>
      <c r="K302"/>
      <c r="L302"/>
    </row>
    <row r="303" spans="1:12" x14ac:dyDescent="0.3">
      <c r="A303" s="1">
        <v>5302</v>
      </c>
      <c r="B303" s="3" t="s">
        <v>552</v>
      </c>
      <c r="C303" s="3" t="s">
        <v>19</v>
      </c>
      <c r="D303" s="3" t="s">
        <v>36</v>
      </c>
      <c r="E303" s="1">
        <v>87520</v>
      </c>
      <c r="F303" s="2" t="s">
        <v>162</v>
      </c>
      <c r="G303" s="3" t="s">
        <v>24</v>
      </c>
      <c r="H303" s="1">
        <v>35</v>
      </c>
      <c r="I303" s="1">
        <v>1</v>
      </c>
      <c r="J303"/>
      <c r="K303"/>
      <c r="L303"/>
    </row>
    <row r="304" spans="1:12" x14ac:dyDescent="0.3">
      <c r="A304" s="1">
        <v>5303</v>
      </c>
      <c r="B304" s="3" t="s">
        <v>280</v>
      </c>
      <c r="C304" s="3" t="s">
        <v>15</v>
      </c>
      <c r="D304" s="3" t="s">
        <v>87</v>
      </c>
      <c r="E304" s="1">
        <v>32819</v>
      </c>
      <c r="F304" s="2" t="s">
        <v>561</v>
      </c>
      <c r="G304" s="3" t="s">
        <v>13</v>
      </c>
      <c r="H304" s="1">
        <v>41</v>
      </c>
      <c r="I304" s="1">
        <v>1</v>
      </c>
      <c r="J304"/>
      <c r="K304"/>
      <c r="L304"/>
    </row>
    <row r="305" spans="1:12" x14ac:dyDescent="0.3">
      <c r="A305" s="1">
        <v>5304</v>
      </c>
      <c r="B305" s="3" t="s">
        <v>562</v>
      </c>
      <c r="C305" s="3" t="s">
        <v>44</v>
      </c>
      <c r="D305" s="3" t="s">
        <v>16</v>
      </c>
      <c r="E305" s="1">
        <v>142930</v>
      </c>
      <c r="F305" s="2" t="s">
        <v>563</v>
      </c>
      <c r="G305" s="3" t="s">
        <v>24</v>
      </c>
      <c r="H305" s="1">
        <v>38</v>
      </c>
      <c r="I305" s="1">
        <v>4</v>
      </c>
      <c r="J305"/>
      <c r="K305"/>
      <c r="L305"/>
    </row>
    <row r="306" spans="1:12" x14ac:dyDescent="0.3">
      <c r="A306" s="1">
        <v>5305</v>
      </c>
      <c r="B306" s="3" t="s">
        <v>564</v>
      </c>
      <c r="C306" s="3" t="s">
        <v>70</v>
      </c>
      <c r="D306" s="3" t="s">
        <v>11</v>
      </c>
      <c r="E306" s="1">
        <v>132832</v>
      </c>
      <c r="F306" s="2" t="s">
        <v>565</v>
      </c>
      <c r="G306" s="3" t="s">
        <v>13</v>
      </c>
      <c r="H306" s="1">
        <v>30</v>
      </c>
      <c r="I306" s="1">
        <v>1</v>
      </c>
      <c r="J306"/>
      <c r="K306"/>
      <c r="L306"/>
    </row>
    <row r="307" spans="1:12" x14ac:dyDescent="0.3">
      <c r="A307" s="1">
        <v>5306</v>
      </c>
      <c r="B307" s="3" t="s">
        <v>566</v>
      </c>
      <c r="C307" s="3" t="s">
        <v>35</v>
      </c>
      <c r="D307" s="3" t="s">
        <v>87</v>
      </c>
      <c r="E307" s="1">
        <v>102571</v>
      </c>
      <c r="F307" s="2" t="s">
        <v>567</v>
      </c>
      <c r="G307" s="3" t="s">
        <v>24</v>
      </c>
      <c r="H307" s="1">
        <v>35</v>
      </c>
      <c r="I307" s="1">
        <v>5</v>
      </c>
      <c r="J307"/>
      <c r="K307"/>
      <c r="L307"/>
    </row>
    <row r="308" spans="1:12" x14ac:dyDescent="0.3">
      <c r="A308" s="1">
        <v>5307</v>
      </c>
      <c r="B308" s="3" t="s">
        <v>524</v>
      </c>
      <c r="C308" s="3" t="s">
        <v>39</v>
      </c>
      <c r="D308" s="3" t="s">
        <v>27</v>
      </c>
      <c r="E308" s="1">
        <v>147903</v>
      </c>
      <c r="F308" s="2" t="s">
        <v>568</v>
      </c>
      <c r="G308" s="3" t="s">
        <v>13</v>
      </c>
      <c r="H308" s="1">
        <v>44</v>
      </c>
      <c r="I308" s="1">
        <v>5</v>
      </c>
      <c r="J308"/>
      <c r="K308"/>
      <c r="L308"/>
    </row>
    <row r="309" spans="1:12" x14ac:dyDescent="0.3">
      <c r="A309" s="1">
        <v>5308</v>
      </c>
      <c r="B309" s="3" t="s">
        <v>569</v>
      </c>
      <c r="C309" s="3" t="s">
        <v>10</v>
      </c>
      <c r="D309" s="3" t="s">
        <v>20</v>
      </c>
      <c r="E309" s="1">
        <v>123593</v>
      </c>
      <c r="F309" s="2" t="s">
        <v>570</v>
      </c>
      <c r="G309" s="3" t="s">
        <v>24</v>
      </c>
      <c r="H309" s="1">
        <v>55</v>
      </c>
      <c r="I309" s="1">
        <v>4</v>
      </c>
      <c r="J309"/>
      <c r="K309"/>
      <c r="L309"/>
    </row>
    <row r="310" spans="1:12" x14ac:dyDescent="0.3">
      <c r="A310" s="1">
        <v>5309</v>
      </c>
      <c r="B310" s="3" t="s">
        <v>571</v>
      </c>
      <c r="C310" s="3" t="s">
        <v>35</v>
      </c>
      <c r="D310" s="3" t="s">
        <v>49</v>
      </c>
      <c r="E310" s="1">
        <v>42357</v>
      </c>
      <c r="F310" s="2" t="s">
        <v>572</v>
      </c>
      <c r="G310" s="3" t="s">
        <v>24</v>
      </c>
      <c r="H310" s="1">
        <v>41</v>
      </c>
      <c r="I310" s="1">
        <v>1</v>
      </c>
      <c r="J310"/>
      <c r="K310"/>
      <c r="L310"/>
    </row>
    <row r="311" spans="1:12" x14ac:dyDescent="0.3">
      <c r="A311" s="1">
        <v>5310</v>
      </c>
      <c r="B311" s="3" t="s">
        <v>1498</v>
      </c>
      <c r="C311" s="3" t="s">
        <v>26</v>
      </c>
      <c r="D311" s="3" t="s">
        <v>16</v>
      </c>
      <c r="E311" s="1">
        <v>72102</v>
      </c>
      <c r="F311" s="2" t="s">
        <v>573</v>
      </c>
      <c r="G311" s="3" t="s">
        <v>24</v>
      </c>
      <c r="H311" s="1">
        <v>23</v>
      </c>
      <c r="I311" s="1">
        <v>1</v>
      </c>
      <c r="J311"/>
      <c r="K311"/>
      <c r="L311"/>
    </row>
    <row r="312" spans="1:12" x14ac:dyDescent="0.3">
      <c r="A312" s="1">
        <v>5311</v>
      </c>
      <c r="B312" s="3" t="s">
        <v>43</v>
      </c>
      <c r="C312" s="3" t="s">
        <v>15</v>
      </c>
      <c r="D312" s="3" t="s">
        <v>49</v>
      </c>
      <c r="E312" s="1">
        <v>128977</v>
      </c>
      <c r="F312" s="2" t="s">
        <v>574</v>
      </c>
      <c r="G312" s="3" t="s">
        <v>13</v>
      </c>
      <c r="H312" s="1">
        <v>39</v>
      </c>
      <c r="I312" s="1">
        <v>1</v>
      </c>
      <c r="J312"/>
      <c r="K312"/>
      <c r="L312"/>
    </row>
    <row r="313" spans="1:12" x14ac:dyDescent="0.3">
      <c r="A313" s="1">
        <v>5312</v>
      </c>
      <c r="B313" s="3" t="s">
        <v>575</v>
      </c>
      <c r="C313" s="3" t="s">
        <v>44</v>
      </c>
      <c r="D313" s="3" t="s">
        <v>16</v>
      </c>
      <c r="E313" s="1">
        <v>78518</v>
      </c>
      <c r="F313" s="2" t="s">
        <v>576</v>
      </c>
      <c r="G313" s="3" t="s">
        <v>24</v>
      </c>
      <c r="H313" s="1">
        <v>24</v>
      </c>
      <c r="I313" s="1">
        <v>1</v>
      </c>
      <c r="J313"/>
      <c r="K313"/>
      <c r="L313"/>
    </row>
    <row r="314" spans="1:12" x14ac:dyDescent="0.3">
      <c r="A314" s="1">
        <v>5313</v>
      </c>
      <c r="B314" s="3" t="s">
        <v>577</v>
      </c>
      <c r="C314" s="3" t="s">
        <v>63</v>
      </c>
      <c r="D314" s="3" t="s">
        <v>11</v>
      </c>
      <c r="E314" s="1">
        <v>119009</v>
      </c>
      <c r="F314" s="2" t="s">
        <v>247</v>
      </c>
      <c r="G314" s="3" t="s">
        <v>13</v>
      </c>
      <c r="H314" s="1">
        <v>45</v>
      </c>
      <c r="I314" s="1">
        <v>4</v>
      </c>
      <c r="J314"/>
      <c r="K314"/>
      <c r="L314"/>
    </row>
    <row r="315" spans="1:12" x14ac:dyDescent="0.3">
      <c r="A315" s="1">
        <v>5314</v>
      </c>
      <c r="B315" s="3" t="s">
        <v>1560</v>
      </c>
      <c r="C315" s="3" t="s">
        <v>39</v>
      </c>
      <c r="D315" s="3" t="s">
        <v>11</v>
      </c>
      <c r="E315" s="1">
        <v>75528</v>
      </c>
      <c r="F315" s="2" t="s">
        <v>578</v>
      </c>
      <c r="G315" s="3" t="s">
        <v>24</v>
      </c>
      <c r="H315" s="1">
        <v>50</v>
      </c>
      <c r="I315" s="1">
        <v>1</v>
      </c>
      <c r="J315"/>
      <c r="K315"/>
      <c r="L315"/>
    </row>
    <row r="316" spans="1:12" x14ac:dyDescent="0.3">
      <c r="A316" s="1">
        <v>5315</v>
      </c>
      <c r="B316" s="3" t="s">
        <v>579</v>
      </c>
      <c r="C316" s="3" t="s">
        <v>39</v>
      </c>
      <c r="D316" s="3" t="s">
        <v>27</v>
      </c>
      <c r="E316" s="1">
        <v>47180</v>
      </c>
      <c r="F316" s="2" t="s">
        <v>580</v>
      </c>
      <c r="G316" s="3" t="s">
        <v>24</v>
      </c>
      <c r="H316" s="1">
        <v>36</v>
      </c>
      <c r="I316" s="1">
        <v>1</v>
      </c>
      <c r="J316"/>
      <c r="K316"/>
      <c r="L316"/>
    </row>
    <row r="317" spans="1:12" x14ac:dyDescent="0.3">
      <c r="A317" s="1">
        <v>5316</v>
      </c>
      <c r="B317" s="3" t="s">
        <v>581</v>
      </c>
      <c r="C317" s="3" t="s">
        <v>35</v>
      </c>
      <c r="D317" s="3" t="s">
        <v>30</v>
      </c>
      <c r="E317" s="1">
        <v>29113</v>
      </c>
      <c r="F317" s="2" t="s">
        <v>582</v>
      </c>
      <c r="G317" s="3" t="s">
        <v>13</v>
      </c>
      <c r="H317" s="1">
        <v>26</v>
      </c>
      <c r="I317" s="1">
        <v>4</v>
      </c>
      <c r="J317"/>
      <c r="K317"/>
      <c r="L317"/>
    </row>
    <row r="318" spans="1:12" x14ac:dyDescent="0.3">
      <c r="A318" s="1">
        <v>5317</v>
      </c>
      <c r="B318" s="3" t="s">
        <v>583</v>
      </c>
      <c r="C318" s="3" t="s">
        <v>15</v>
      </c>
      <c r="D318" s="3" t="s">
        <v>87</v>
      </c>
      <c r="E318" s="1">
        <v>29479</v>
      </c>
      <c r="F318" s="2" t="s">
        <v>584</v>
      </c>
      <c r="G318" s="3" t="s">
        <v>24</v>
      </c>
      <c r="H318" s="1">
        <v>43</v>
      </c>
      <c r="I318" s="1">
        <v>2</v>
      </c>
      <c r="J318"/>
      <c r="K318"/>
      <c r="L318"/>
    </row>
    <row r="319" spans="1:12" x14ac:dyDescent="0.3">
      <c r="A319" s="1">
        <v>5318</v>
      </c>
      <c r="B319" s="3" t="s">
        <v>484</v>
      </c>
      <c r="C319" s="3" t="s">
        <v>35</v>
      </c>
      <c r="D319" s="3" t="s">
        <v>11</v>
      </c>
      <c r="E319" s="1">
        <v>116244</v>
      </c>
      <c r="F319" s="2" t="s">
        <v>585</v>
      </c>
      <c r="G319" s="3" t="s">
        <v>13</v>
      </c>
      <c r="H319" s="1">
        <v>49</v>
      </c>
      <c r="I319" s="1">
        <v>4</v>
      </c>
      <c r="J319"/>
      <c r="K319"/>
      <c r="L319"/>
    </row>
    <row r="320" spans="1:12" x14ac:dyDescent="0.3">
      <c r="A320" s="1">
        <v>5319</v>
      </c>
      <c r="B320" s="3" t="s">
        <v>1087</v>
      </c>
      <c r="C320" s="3" t="s">
        <v>26</v>
      </c>
      <c r="D320" s="3" t="s">
        <v>27</v>
      </c>
      <c r="E320" s="1">
        <v>87099</v>
      </c>
      <c r="F320" s="2" t="s">
        <v>268</v>
      </c>
      <c r="G320" s="3" t="s">
        <v>13</v>
      </c>
      <c r="H320" s="1">
        <v>41</v>
      </c>
      <c r="I320" s="1">
        <v>2</v>
      </c>
      <c r="J320"/>
      <c r="K320"/>
      <c r="L320"/>
    </row>
    <row r="321" spans="1:12" x14ac:dyDescent="0.3">
      <c r="A321" s="1">
        <v>5320</v>
      </c>
      <c r="B321" s="3" t="s">
        <v>586</v>
      </c>
      <c r="C321" s="3" t="s">
        <v>26</v>
      </c>
      <c r="D321" s="3" t="s">
        <v>87</v>
      </c>
      <c r="E321" s="1">
        <v>132402</v>
      </c>
      <c r="F321" s="2" t="s">
        <v>587</v>
      </c>
      <c r="G321" s="3" t="s">
        <v>24</v>
      </c>
      <c r="H321" s="1">
        <v>35</v>
      </c>
      <c r="I321" s="1">
        <v>2</v>
      </c>
      <c r="J321"/>
      <c r="K321"/>
      <c r="L321"/>
    </row>
    <row r="322" spans="1:12" x14ac:dyDescent="0.3">
      <c r="A322" s="1">
        <v>5321</v>
      </c>
      <c r="B322" s="3" t="s">
        <v>490</v>
      </c>
      <c r="C322" s="3" t="s">
        <v>26</v>
      </c>
      <c r="D322" s="3" t="s">
        <v>49</v>
      </c>
      <c r="E322" s="1">
        <v>78154</v>
      </c>
      <c r="F322" s="2" t="s">
        <v>588</v>
      </c>
      <c r="G322" s="3" t="s">
        <v>13</v>
      </c>
      <c r="H322" s="1">
        <v>23</v>
      </c>
      <c r="I322" s="1">
        <v>2</v>
      </c>
      <c r="J322"/>
      <c r="K322"/>
      <c r="L322"/>
    </row>
    <row r="323" spans="1:12" x14ac:dyDescent="0.3">
      <c r="A323" s="1">
        <v>5322</v>
      </c>
      <c r="B323" s="3" t="s">
        <v>589</v>
      </c>
      <c r="C323" s="3" t="s">
        <v>63</v>
      </c>
      <c r="D323" s="3" t="s">
        <v>87</v>
      </c>
      <c r="E323" s="1">
        <v>53168</v>
      </c>
      <c r="F323" s="2" t="s">
        <v>590</v>
      </c>
      <c r="G323" s="3" t="s">
        <v>24</v>
      </c>
      <c r="H323" s="1">
        <v>21</v>
      </c>
      <c r="I323" s="1">
        <v>4</v>
      </c>
      <c r="J323"/>
      <c r="K323"/>
      <c r="L323"/>
    </row>
    <row r="324" spans="1:12" x14ac:dyDescent="0.3">
      <c r="A324" s="1">
        <v>5323</v>
      </c>
      <c r="B324" s="3" t="s">
        <v>128</v>
      </c>
      <c r="C324" s="3" t="s">
        <v>26</v>
      </c>
      <c r="D324" s="3" t="s">
        <v>27</v>
      </c>
      <c r="E324" s="1">
        <v>140175</v>
      </c>
      <c r="F324" s="2" t="s">
        <v>591</v>
      </c>
      <c r="G324" s="3" t="s">
        <v>13</v>
      </c>
      <c r="H324" s="1">
        <v>23</v>
      </c>
      <c r="I324" s="1">
        <v>1</v>
      </c>
      <c r="J324"/>
      <c r="K324"/>
      <c r="L324"/>
    </row>
    <row r="325" spans="1:12" x14ac:dyDescent="0.3">
      <c r="A325" s="1">
        <v>5324</v>
      </c>
      <c r="B325" s="3" t="s">
        <v>1561</v>
      </c>
      <c r="C325" s="3" t="s">
        <v>35</v>
      </c>
      <c r="D325" s="3" t="s">
        <v>27</v>
      </c>
      <c r="E325" s="1">
        <v>49859</v>
      </c>
      <c r="F325" s="2" t="s">
        <v>592</v>
      </c>
      <c r="G325" s="3" t="s">
        <v>13</v>
      </c>
      <c r="H325" s="1">
        <v>47</v>
      </c>
      <c r="I325" s="1">
        <v>4</v>
      </c>
      <c r="J325"/>
      <c r="K325"/>
      <c r="L325"/>
    </row>
    <row r="326" spans="1:12" x14ac:dyDescent="0.3">
      <c r="A326" s="1">
        <v>5325</v>
      </c>
      <c r="B326" s="3" t="s">
        <v>593</v>
      </c>
      <c r="C326" s="3" t="s">
        <v>35</v>
      </c>
      <c r="D326" s="3" t="s">
        <v>36</v>
      </c>
      <c r="E326" s="1">
        <v>47883</v>
      </c>
      <c r="F326" s="2" t="s">
        <v>594</v>
      </c>
      <c r="G326" s="3" t="s">
        <v>13</v>
      </c>
      <c r="H326" s="1">
        <v>45</v>
      </c>
      <c r="I326" s="1">
        <v>3</v>
      </c>
      <c r="J326"/>
      <c r="K326"/>
      <c r="L326"/>
    </row>
    <row r="327" spans="1:12" x14ac:dyDescent="0.3">
      <c r="A327" s="1">
        <v>5326</v>
      </c>
      <c r="B327" s="3" t="s">
        <v>595</v>
      </c>
      <c r="C327" s="3" t="s">
        <v>15</v>
      </c>
      <c r="D327" s="3" t="s">
        <v>36</v>
      </c>
      <c r="E327" s="1">
        <v>109015</v>
      </c>
      <c r="F327" s="2" t="s">
        <v>596</v>
      </c>
      <c r="G327" s="3" t="s">
        <v>24</v>
      </c>
      <c r="H327" s="1">
        <v>39</v>
      </c>
      <c r="I327" s="1">
        <v>4</v>
      </c>
      <c r="J327"/>
      <c r="K327"/>
      <c r="L327"/>
    </row>
    <row r="328" spans="1:12" x14ac:dyDescent="0.3">
      <c r="A328" s="1">
        <v>5327</v>
      </c>
      <c r="B328" s="3" t="s">
        <v>597</v>
      </c>
      <c r="C328" s="3" t="s">
        <v>79</v>
      </c>
      <c r="D328" s="3" t="s">
        <v>87</v>
      </c>
      <c r="E328" s="1">
        <v>53405</v>
      </c>
      <c r="F328" s="2" t="s">
        <v>598</v>
      </c>
      <c r="G328" s="3" t="s">
        <v>13</v>
      </c>
      <c r="H328" s="1">
        <v>44</v>
      </c>
      <c r="I328" s="1">
        <v>3</v>
      </c>
      <c r="J328"/>
      <c r="K328"/>
      <c r="L328"/>
    </row>
    <row r="329" spans="1:12" x14ac:dyDescent="0.3">
      <c r="A329" s="1">
        <v>5328</v>
      </c>
      <c r="B329" s="3" t="s">
        <v>599</v>
      </c>
      <c r="C329" s="3" t="s">
        <v>63</v>
      </c>
      <c r="D329" s="3" t="s">
        <v>87</v>
      </c>
      <c r="E329" s="1">
        <v>117286</v>
      </c>
      <c r="F329" s="2" t="s">
        <v>600</v>
      </c>
      <c r="G329" s="3" t="s">
        <v>13</v>
      </c>
      <c r="H329" s="1">
        <v>31</v>
      </c>
      <c r="I329" s="1">
        <v>4</v>
      </c>
      <c r="J329"/>
      <c r="K329"/>
      <c r="L329"/>
    </row>
    <row r="330" spans="1:12" x14ac:dyDescent="0.3">
      <c r="A330" s="1">
        <v>5329</v>
      </c>
      <c r="B330" s="3" t="s">
        <v>601</v>
      </c>
      <c r="C330" s="3" t="s">
        <v>44</v>
      </c>
      <c r="D330" s="3" t="s">
        <v>16</v>
      </c>
      <c r="E330" s="1">
        <v>87836</v>
      </c>
      <c r="F330" s="2" t="s">
        <v>485</v>
      </c>
      <c r="G330" s="3" t="s">
        <v>13</v>
      </c>
      <c r="H330" s="1">
        <v>54</v>
      </c>
      <c r="I330" s="1">
        <v>5</v>
      </c>
      <c r="J330"/>
      <c r="K330"/>
      <c r="L330"/>
    </row>
    <row r="331" spans="1:12" x14ac:dyDescent="0.3">
      <c r="A331" s="1">
        <v>5330</v>
      </c>
      <c r="B331" s="3" t="s">
        <v>602</v>
      </c>
      <c r="C331" s="3" t="s">
        <v>79</v>
      </c>
      <c r="D331" s="3" t="s">
        <v>36</v>
      </c>
      <c r="E331" s="1">
        <v>37902</v>
      </c>
      <c r="F331" s="2" t="s">
        <v>603</v>
      </c>
      <c r="G331" s="3" t="s">
        <v>13</v>
      </c>
      <c r="H331" s="1">
        <v>45</v>
      </c>
      <c r="I331" s="1">
        <v>1</v>
      </c>
      <c r="J331"/>
      <c r="K331"/>
      <c r="L331"/>
    </row>
    <row r="332" spans="1:12" x14ac:dyDescent="0.3">
      <c r="A332" s="1">
        <v>5331</v>
      </c>
      <c r="B332" s="3" t="s">
        <v>604</v>
      </c>
      <c r="C332" s="3" t="s">
        <v>26</v>
      </c>
      <c r="D332" s="3" t="s">
        <v>36</v>
      </c>
      <c r="E332" s="1">
        <v>87520</v>
      </c>
      <c r="F332" s="2" t="s">
        <v>605</v>
      </c>
      <c r="G332" s="3" t="s">
        <v>13</v>
      </c>
      <c r="H332" s="1">
        <v>53</v>
      </c>
      <c r="I332" s="1">
        <v>3</v>
      </c>
      <c r="J332"/>
      <c r="K332"/>
      <c r="L332"/>
    </row>
    <row r="333" spans="1:12" x14ac:dyDescent="0.3">
      <c r="A333" s="1">
        <v>5332</v>
      </c>
      <c r="B333" s="3" t="s">
        <v>185</v>
      </c>
      <c r="C333" s="3" t="s">
        <v>15</v>
      </c>
      <c r="D333" s="3" t="s">
        <v>11</v>
      </c>
      <c r="E333" s="1">
        <v>85529</v>
      </c>
      <c r="F333" s="2" t="s">
        <v>606</v>
      </c>
      <c r="G333" s="3" t="s">
        <v>24</v>
      </c>
      <c r="H333" s="1">
        <v>30</v>
      </c>
      <c r="I333" s="1">
        <v>1</v>
      </c>
      <c r="J333"/>
      <c r="K333"/>
      <c r="L333"/>
    </row>
    <row r="334" spans="1:12" x14ac:dyDescent="0.3">
      <c r="A334" s="1">
        <v>5333</v>
      </c>
      <c r="B334" s="3" t="s">
        <v>607</v>
      </c>
      <c r="C334" s="3" t="s">
        <v>26</v>
      </c>
      <c r="D334" s="3" t="s">
        <v>30</v>
      </c>
      <c r="E334" s="1">
        <v>148461</v>
      </c>
      <c r="F334" s="2" t="s">
        <v>374</v>
      </c>
      <c r="G334" s="3" t="s">
        <v>24</v>
      </c>
      <c r="H334" s="1">
        <v>38</v>
      </c>
      <c r="I334" s="1">
        <v>5</v>
      </c>
      <c r="J334"/>
      <c r="K334"/>
      <c r="L334"/>
    </row>
    <row r="335" spans="1:12" x14ac:dyDescent="0.3">
      <c r="A335" s="1">
        <v>5334</v>
      </c>
      <c r="B335" s="3" t="s">
        <v>608</v>
      </c>
      <c r="C335" s="3" t="s">
        <v>26</v>
      </c>
      <c r="D335" s="3" t="s">
        <v>20</v>
      </c>
      <c r="E335" s="1">
        <v>58607</v>
      </c>
      <c r="F335" s="2" t="s">
        <v>609</v>
      </c>
      <c r="G335" s="3" t="s">
        <v>13</v>
      </c>
      <c r="H335" s="1">
        <v>33</v>
      </c>
      <c r="I335" s="1">
        <v>5</v>
      </c>
      <c r="J335"/>
      <c r="K335"/>
      <c r="L335"/>
    </row>
    <row r="336" spans="1:12" x14ac:dyDescent="0.3">
      <c r="A336" s="1">
        <v>5335</v>
      </c>
      <c r="B336" s="3" t="s">
        <v>610</v>
      </c>
      <c r="C336" s="3" t="s">
        <v>15</v>
      </c>
      <c r="D336" s="3" t="s">
        <v>61</v>
      </c>
      <c r="E336" s="1">
        <v>87520</v>
      </c>
      <c r="F336" s="2" t="s">
        <v>611</v>
      </c>
      <c r="G336" s="3" t="s">
        <v>24</v>
      </c>
      <c r="H336" s="1">
        <v>21</v>
      </c>
      <c r="I336" s="1">
        <v>2</v>
      </c>
      <c r="J336"/>
      <c r="K336"/>
      <c r="L336"/>
    </row>
    <row r="337" spans="1:12" x14ac:dyDescent="0.3">
      <c r="A337" s="1">
        <v>5336</v>
      </c>
      <c r="B337" s="3" t="s">
        <v>612</v>
      </c>
      <c r="C337" s="3" t="s">
        <v>19</v>
      </c>
      <c r="D337" s="3" t="s">
        <v>30</v>
      </c>
      <c r="E337" s="1">
        <v>93365</v>
      </c>
      <c r="F337" s="2" t="s">
        <v>613</v>
      </c>
      <c r="G337" s="3" t="s">
        <v>24</v>
      </c>
      <c r="H337" s="1">
        <v>42</v>
      </c>
      <c r="I337" s="1">
        <v>2</v>
      </c>
      <c r="J337"/>
      <c r="K337"/>
      <c r="L337"/>
    </row>
    <row r="338" spans="1:12" x14ac:dyDescent="0.3">
      <c r="A338" s="1">
        <v>5337</v>
      </c>
      <c r="B338" s="3" t="s">
        <v>614</v>
      </c>
      <c r="C338" s="3" t="s">
        <v>39</v>
      </c>
      <c r="D338" s="3" t="s">
        <v>27</v>
      </c>
      <c r="E338" s="1">
        <v>87520</v>
      </c>
      <c r="F338" s="2" t="s">
        <v>615</v>
      </c>
      <c r="G338" s="3" t="s">
        <v>13</v>
      </c>
      <c r="H338" s="1">
        <v>27</v>
      </c>
      <c r="I338" s="1">
        <v>2</v>
      </c>
      <c r="J338"/>
      <c r="K338"/>
      <c r="L338"/>
    </row>
    <row r="339" spans="1:12" x14ac:dyDescent="0.3">
      <c r="A339" s="1">
        <v>5338</v>
      </c>
      <c r="B339" s="3" t="s">
        <v>616</v>
      </c>
      <c r="C339" s="3" t="s">
        <v>44</v>
      </c>
      <c r="D339" s="3" t="s">
        <v>30</v>
      </c>
      <c r="E339" s="1">
        <v>87520</v>
      </c>
      <c r="F339" s="2" t="s">
        <v>617</v>
      </c>
      <c r="G339" s="3" t="s">
        <v>24</v>
      </c>
      <c r="H339" s="1">
        <v>38</v>
      </c>
      <c r="I339" s="1">
        <v>4</v>
      </c>
      <c r="J339"/>
      <c r="K339"/>
      <c r="L339"/>
    </row>
    <row r="340" spans="1:12" x14ac:dyDescent="0.3">
      <c r="A340" s="1">
        <v>5339</v>
      </c>
      <c r="B340" s="3" t="s">
        <v>618</v>
      </c>
      <c r="C340" s="3" t="s">
        <v>10</v>
      </c>
      <c r="D340" s="3" t="s">
        <v>87</v>
      </c>
      <c r="E340" s="1">
        <v>90204</v>
      </c>
      <c r="F340" s="2" t="s">
        <v>619</v>
      </c>
      <c r="G340" s="3" t="s">
        <v>13</v>
      </c>
      <c r="H340" s="1">
        <v>55</v>
      </c>
      <c r="I340" s="1">
        <v>1</v>
      </c>
      <c r="J340"/>
      <c r="K340"/>
      <c r="L340"/>
    </row>
    <row r="341" spans="1:12" x14ac:dyDescent="0.3">
      <c r="A341" s="1">
        <v>5340</v>
      </c>
      <c r="B341" s="3" t="s">
        <v>620</v>
      </c>
      <c r="C341" s="3" t="s">
        <v>19</v>
      </c>
      <c r="D341" s="3" t="s">
        <v>36</v>
      </c>
      <c r="E341" s="1">
        <v>111188</v>
      </c>
      <c r="F341" s="2" t="s">
        <v>621</v>
      </c>
      <c r="G341" s="3" t="s">
        <v>24</v>
      </c>
      <c r="H341" s="1">
        <v>39</v>
      </c>
      <c r="I341" s="1">
        <v>5</v>
      </c>
      <c r="J341"/>
      <c r="K341"/>
      <c r="L341"/>
    </row>
    <row r="342" spans="1:12" x14ac:dyDescent="0.3">
      <c r="A342" s="1">
        <v>5341</v>
      </c>
      <c r="B342" s="3" t="s">
        <v>622</v>
      </c>
      <c r="C342" s="3" t="s">
        <v>70</v>
      </c>
      <c r="D342" s="3" t="s">
        <v>87</v>
      </c>
      <c r="E342" s="1">
        <v>82781</v>
      </c>
      <c r="F342" s="2" t="s">
        <v>623</v>
      </c>
      <c r="G342" s="3" t="s">
        <v>24</v>
      </c>
      <c r="H342" s="1">
        <v>39</v>
      </c>
      <c r="I342" s="1">
        <v>3</v>
      </c>
      <c r="J342"/>
      <c r="K342"/>
      <c r="L342"/>
    </row>
    <row r="343" spans="1:12" x14ac:dyDescent="0.3">
      <c r="A343" s="1">
        <v>5342</v>
      </c>
      <c r="B343" s="3" t="s">
        <v>624</v>
      </c>
      <c r="C343" s="3" t="s">
        <v>79</v>
      </c>
      <c r="D343" s="3" t="s">
        <v>11</v>
      </c>
      <c r="E343" s="1">
        <v>87520</v>
      </c>
      <c r="F343" s="2" t="s">
        <v>625</v>
      </c>
      <c r="G343" s="3" t="s">
        <v>13</v>
      </c>
      <c r="H343" s="1">
        <v>46</v>
      </c>
      <c r="I343" s="1">
        <v>3</v>
      </c>
      <c r="J343"/>
      <c r="K343"/>
      <c r="L343"/>
    </row>
    <row r="344" spans="1:12" x14ac:dyDescent="0.3">
      <c r="A344" s="1">
        <v>5343</v>
      </c>
      <c r="B344" s="3" t="s">
        <v>459</v>
      </c>
      <c r="C344" s="3" t="s">
        <v>70</v>
      </c>
      <c r="D344" s="3" t="s">
        <v>61</v>
      </c>
      <c r="E344" s="1">
        <v>135807</v>
      </c>
      <c r="F344" s="2" t="s">
        <v>626</v>
      </c>
      <c r="G344" s="3" t="s">
        <v>1534</v>
      </c>
      <c r="H344" s="1">
        <v>38</v>
      </c>
      <c r="I344" s="1">
        <v>1</v>
      </c>
      <c r="J344"/>
      <c r="K344"/>
      <c r="L344"/>
    </row>
    <row r="345" spans="1:12" x14ac:dyDescent="0.3">
      <c r="A345" s="1">
        <v>5344</v>
      </c>
      <c r="B345" s="3" t="s">
        <v>1562</v>
      </c>
      <c r="C345" s="3" t="s">
        <v>63</v>
      </c>
      <c r="D345" s="3" t="s">
        <v>20</v>
      </c>
      <c r="E345" s="1">
        <v>88139</v>
      </c>
      <c r="F345" s="2" t="s">
        <v>367</v>
      </c>
      <c r="G345" s="3" t="s">
        <v>24</v>
      </c>
      <c r="H345" s="1">
        <v>39</v>
      </c>
      <c r="I345" s="1">
        <v>5</v>
      </c>
      <c r="J345"/>
      <c r="K345"/>
      <c r="L345"/>
    </row>
    <row r="346" spans="1:12" x14ac:dyDescent="0.3">
      <c r="A346" s="1">
        <v>5345</v>
      </c>
      <c r="B346" s="3" t="s">
        <v>216</v>
      </c>
      <c r="C346" s="3" t="s">
        <v>19</v>
      </c>
      <c r="D346" s="3" t="s">
        <v>20</v>
      </c>
      <c r="E346" s="1">
        <v>54869</v>
      </c>
      <c r="F346" s="2" t="s">
        <v>627</v>
      </c>
      <c r="G346" s="3" t="s">
        <v>24</v>
      </c>
      <c r="H346" s="1">
        <v>21</v>
      </c>
      <c r="I346" s="1">
        <v>4</v>
      </c>
      <c r="J346"/>
      <c r="K346"/>
      <c r="L346"/>
    </row>
    <row r="347" spans="1:12" x14ac:dyDescent="0.3">
      <c r="A347" s="1">
        <v>5346</v>
      </c>
      <c r="B347" s="3" t="s">
        <v>628</v>
      </c>
      <c r="C347" s="3" t="s">
        <v>79</v>
      </c>
      <c r="D347" s="3" t="s">
        <v>27</v>
      </c>
      <c r="E347" s="1">
        <v>139347</v>
      </c>
      <c r="F347" s="2" t="s">
        <v>629</v>
      </c>
      <c r="G347" s="3" t="s">
        <v>13</v>
      </c>
      <c r="H347" s="1">
        <v>33</v>
      </c>
      <c r="I347" s="1">
        <v>1</v>
      </c>
      <c r="J347"/>
      <c r="K347"/>
      <c r="L347"/>
    </row>
    <row r="348" spans="1:12" x14ac:dyDescent="0.3">
      <c r="A348" s="1">
        <v>5347</v>
      </c>
      <c r="B348" s="3" t="s">
        <v>630</v>
      </c>
      <c r="C348" s="3" t="s">
        <v>15</v>
      </c>
      <c r="D348" s="3" t="s">
        <v>27</v>
      </c>
      <c r="E348" s="1">
        <v>87520</v>
      </c>
      <c r="F348" s="2" t="s">
        <v>631</v>
      </c>
      <c r="G348" s="3" t="s">
        <v>24</v>
      </c>
      <c r="H348" s="1">
        <v>21</v>
      </c>
      <c r="I348" s="1">
        <v>5</v>
      </c>
      <c r="J348"/>
      <c r="K348"/>
      <c r="L348"/>
    </row>
    <row r="349" spans="1:12" x14ac:dyDescent="0.3">
      <c r="A349" s="1">
        <v>5348</v>
      </c>
      <c r="B349" s="3" t="s">
        <v>632</v>
      </c>
      <c r="C349" s="3" t="s">
        <v>79</v>
      </c>
      <c r="D349" s="3" t="s">
        <v>27</v>
      </c>
      <c r="E349" s="1">
        <v>144071</v>
      </c>
      <c r="F349" s="2" t="s">
        <v>633</v>
      </c>
      <c r="G349" s="3" t="s">
        <v>24</v>
      </c>
      <c r="H349" s="1">
        <v>39</v>
      </c>
      <c r="I349" s="1">
        <v>1</v>
      </c>
      <c r="J349"/>
      <c r="K349"/>
      <c r="L349"/>
    </row>
    <row r="350" spans="1:12" x14ac:dyDescent="0.3">
      <c r="A350" s="1">
        <v>5349</v>
      </c>
      <c r="B350" s="3" t="s">
        <v>634</v>
      </c>
      <c r="C350" s="3" t="s">
        <v>26</v>
      </c>
      <c r="D350" s="3" t="s">
        <v>16</v>
      </c>
      <c r="E350" s="1">
        <v>56117</v>
      </c>
      <c r="F350" s="2" t="s">
        <v>635</v>
      </c>
      <c r="G350" s="3" t="s">
        <v>24</v>
      </c>
      <c r="H350" s="1">
        <v>40</v>
      </c>
      <c r="I350" s="1">
        <v>1</v>
      </c>
      <c r="J350"/>
      <c r="K350"/>
      <c r="L350"/>
    </row>
    <row r="351" spans="1:12" x14ac:dyDescent="0.3">
      <c r="A351" s="1">
        <v>5350</v>
      </c>
      <c r="B351" s="3" t="s">
        <v>271</v>
      </c>
      <c r="C351" s="3" t="s">
        <v>79</v>
      </c>
      <c r="D351" s="3" t="s">
        <v>11</v>
      </c>
      <c r="E351" s="1">
        <v>65585</v>
      </c>
      <c r="F351" s="2" t="s">
        <v>501</v>
      </c>
      <c r="G351" s="3" t="s">
        <v>24</v>
      </c>
      <c r="H351" s="1">
        <v>43</v>
      </c>
      <c r="I351" s="1">
        <v>4</v>
      </c>
      <c r="J351"/>
      <c r="K351"/>
      <c r="L351"/>
    </row>
    <row r="352" spans="1:12" x14ac:dyDescent="0.3">
      <c r="A352" s="1">
        <v>5351</v>
      </c>
      <c r="B352" s="3" t="s">
        <v>1563</v>
      </c>
      <c r="C352" s="3" t="s">
        <v>15</v>
      </c>
      <c r="D352" s="3" t="s">
        <v>61</v>
      </c>
      <c r="E352" s="1">
        <v>90522</v>
      </c>
      <c r="F352" s="2" t="s">
        <v>636</v>
      </c>
      <c r="G352" s="3" t="s">
        <v>13</v>
      </c>
      <c r="H352" s="1">
        <v>37</v>
      </c>
      <c r="I352" s="1">
        <v>3</v>
      </c>
      <c r="J352"/>
      <c r="K352"/>
      <c r="L352"/>
    </row>
    <row r="353" spans="1:12" x14ac:dyDescent="0.3">
      <c r="A353" s="1">
        <v>5352</v>
      </c>
      <c r="B353" s="3" t="s">
        <v>637</v>
      </c>
      <c r="C353" s="3" t="s">
        <v>70</v>
      </c>
      <c r="D353" s="3" t="s">
        <v>87</v>
      </c>
      <c r="E353" s="1">
        <v>88027</v>
      </c>
      <c r="F353" s="2" t="s">
        <v>638</v>
      </c>
      <c r="G353" s="3" t="s">
        <v>24</v>
      </c>
      <c r="H353" s="1">
        <v>27</v>
      </c>
      <c r="I353" s="1">
        <v>3</v>
      </c>
      <c r="J353"/>
      <c r="K353"/>
      <c r="L353"/>
    </row>
    <row r="354" spans="1:12" x14ac:dyDescent="0.3">
      <c r="A354" s="1">
        <v>5353</v>
      </c>
      <c r="B354" s="3" t="s">
        <v>639</v>
      </c>
      <c r="C354" s="3" t="s">
        <v>15</v>
      </c>
      <c r="D354" s="3" t="s">
        <v>20</v>
      </c>
      <c r="E354" s="1">
        <v>106716</v>
      </c>
      <c r="F354" s="2" t="s">
        <v>615</v>
      </c>
      <c r="G354" s="3" t="s">
        <v>13</v>
      </c>
      <c r="H354" s="1">
        <v>28</v>
      </c>
      <c r="I354" s="1">
        <v>4</v>
      </c>
      <c r="J354"/>
      <c r="K354"/>
      <c r="L354"/>
    </row>
    <row r="355" spans="1:12" x14ac:dyDescent="0.3">
      <c r="A355" s="1">
        <v>5354</v>
      </c>
      <c r="B355" s="3" t="s">
        <v>1564</v>
      </c>
      <c r="C355" s="3" t="s">
        <v>26</v>
      </c>
      <c r="D355" s="3" t="s">
        <v>52</v>
      </c>
      <c r="E355" s="1">
        <v>52893</v>
      </c>
      <c r="F355" s="2" t="s">
        <v>640</v>
      </c>
      <c r="G355" s="3" t="s">
        <v>13</v>
      </c>
      <c r="H355" s="1">
        <v>26</v>
      </c>
      <c r="I355" s="1">
        <v>1</v>
      </c>
      <c r="J355"/>
      <c r="K355"/>
      <c r="L355"/>
    </row>
    <row r="356" spans="1:12" x14ac:dyDescent="0.3">
      <c r="A356" s="1">
        <v>5355</v>
      </c>
      <c r="B356" s="3" t="s">
        <v>641</v>
      </c>
      <c r="C356" s="3" t="s">
        <v>15</v>
      </c>
      <c r="D356" s="3" t="s">
        <v>20</v>
      </c>
      <c r="E356" s="1">
        <v>132034</v>
      </c>
      <c r="F356" s="2" t="s">
        <v>66</v>
      </c>
      <c r="G356" s="3" t="s">
        <v>13</v>
      </c>
      <c r="H356" s="1">
        <v>24</v>
      </c>
      <c r="I356" s="1">
        <v>5</v>
      </c>
      <c r="J356"/>
      <c r="K356"/>
      <c r="L356"/>
    </row>
    <row r="357" spans="1:12" x14ac:dyDescent="0.3">
      <c r="A357" s="1">
        <v>5356</v>
      </c>
      <c r="B357" s="3" t="s">
        <v>642</v>
      </c>
      <c r="C357" s="3" t="s">
        <v>63</v>
      </c>
      <c r="D357" s="3" t="s">
        <v>11</v>
      </c>
      <c r="E357" s="1">
        <v>73253</v>
      </c>
      <c r="F357" s="2" t="s">
        <v>643</v>
      </c>
      <c r="G357" s="3" t="s">
        <v>13</v>
      </c>
      <c r="H357" s="1">
        <v>39</v>
      </c>
      <c r="I357" s="1">
        <v>4</v>
      </c>
      <c r="J357"/>
      <c r="K357"/>
      <c r="L357"/>
    </row>
    <row r="358" spans="1:12" x14ac:dyDescent="0.3">
      <c r="A358" s="1">
        <v>5357</v>
      </c>
      <c r="B358" s="3" t="s">
        <v>644</v>
      </c>
      <c r="C358" s="3" t="s">
        <v>44</v>
      </c>
      <c r="D358" s="3" t="s">
        <v>20</v>
      </c>
      <c r="E358" s="1">
        <v>128803</v>
      </c>
      <c r="F358" s="2" t="s">
        <v>645</v>
      </c>
      <c r="G358" s="3" t="s">
        <v>24</v>
      </c>
      <c r="H358" s="1">
        <v>36</v>
      </c>
      <c r="I358" s="1">
        <v>3</v>
      </c>
      <c r="J358"/>
      <c r="K358"/>
      <c r="L358"/>
    </row>
    <row r="359" spans="1:12" x14ac:dyDescent="0.3">
      <c r="A359" s="1">
        <v>5358</v>
      </c>
      <c r="B359" s="3" t="s">
        <v>642</v>
      </c>
      <c r="C359" s="3" t="s">
        <v>10</v>
      </c>
      <c r="D359" s="3" t="s">
        <v>36</v>
      </c>
      <c r="E359" s="1">
        <v>146266</v>
      </c>
      <c r="F359" s="2" t="s">
        <v>646</v>
      </c>
      <c r="G359" s="3" t="s">
        <v>24</v>
      </c>
      <c r="H359" s="1">
        <v>32</v>
      </c>
      <c r="I359" s="1">
        <v>2</v>
      </c>
      <c r="J359"/>
      <c r="K359"/>
      <c r="L359"/>
    </row>
    <row r="360" spans="1:12" x14ac:dyDescent="0.3">
      <c r="A360" s="1">
        <v>5359</v>
      </c>
      <c r="B360" s="3" t="s">
        <v>231</v>
      </c>
      <c r="C360" s="3" t="s">
        <v>15</v>
      </c>
      <c r="D360" s="3" t="s">
        <v>52</v>
      </c>
      <c r="E360" s="1">
        <v>118206</v>
      </c>
      <c r="F360" s="2" t="s">
        <v>647</v>
      </c>
      <c r="G360" s="3" t="s">
        <v>13</v>
      </c>
      <c r="H360" s="1">
        <v>51</v>
      </c>
      <c r="I360" s="1">
        <v>2</v>
      </c>
      <c r="J360"/>
      <c r="K360"/>
      <c r="L360"/>
    </row>
    <row r="361" spans="1:12" x14ac:dyDescent="0.3">
      <c r="A361" s="1">
        <v>5360</v>
      </c>
      <c r="B361" s="3" t="s">
        <v>648</v>
      </c>
      <c r="C361" s="3" t="s">
        <v>35</v>
      </c>
      <c r="D361" s="3" t="s">
        <v>36</v>
      </c>
      <c r="E361" s="1">
        <v>96320</v>
      </c>
      <c r="F361" s="2" t="s">
        <v>649</v>
      </c>
      <c r="G361" s="3" t="s">
        <v>24</v>
      </c>
      <c r="H361" s="1">
        <v>36</v>
      </c>
      <c r="I361" s="1">
        <v>2</v>
      </c>
      <c r="J361"/>
      <c r="K361"/>
      <c r="L361"/>
    </row>
    <row r="362" spans="1:12" x14ac:dyDescent="0.3">
      <c r="A362" s="1">
        <v>5361</v>
      </c>
      <c r="B362" s="3" t="s">
        <v>271</v>
      </c>
      <c r="C362" s="3" t="s">
        <v>19</v>
      </c>
      <c r="D362" s="3" t="s">
        <v>61</v>
      </c>
      <c r="E362" s="1">
        <v>124084</v>
      </c>
      <c r="F362" s="2" t="s">
        <v>650</v>
      </c>
      <c r="G362" s="3" t="s">
        <v>24</v>
      </c>
      <c r="H362" s="1">
        <v>21</v>
      </c>
      <c r="I362" s="1">
        <v>5</v>
      </c>
      <c r="J362"/>
      <c r="K362"/>
      <c r="L362"/>
    </row>
    <row r="363" spans="1:12" x14ac:dyDescent="0.3">
      <c r="A363" s="1">
        <v>5362</v>
      </c>
      <c r="B363" s="3" t="s">
        <v>651</v>
      </c>
      <c r="C363" s="3" t="s">
        <v>26</v>
      </c>
      <c r="D363" s="3" t="s">
        <v>87</v>
      </c>
      <c r="E363" s="1">
        <v>110567</v>
      </c>
      <c r="F363" s="2" t="s">
        <v>652</v>
      </c>
      <c r="G363" s="3" t="s">
        <v>13</v>
      </c>
      <c r="H363" s="1">
        <v>24</v>
      </c>
      <c r="I363" s="1">
        <v>2</v>
      </c>
      <c r="J363"/>
      <c r="K363"/>
      <c r="L363"/>
    </row>
    <row r="364" spans="1:12" x14ac:dyDescent="0.3">
      <c r="A364" s="1">
        <v>5363</v>
      </c>
      <c r="B364" s="3" t="s">
        <v>653</v>
      </c>
      <c r="C364" s="3" t="s">
        <v>15</v>
      </c>
      <c r="D364" s="3" t="s">
        <v>36</v>
      </c>
      <c r="E364" s="1">
        <v>69477</v>
      </c>
      <c r="F364" s="2" t="s">
        <v>654</v>
      </c>
      <c r="G364" s="3" t="s">
        <v>13</v>
      </c>
      <c r="H364" s="1">
        <v>48</v>
      </c>
      <c r="I364" s="1">
        <v>4</v>
      </c>
      <c r="J364"/>
      <c r="K364"/>
      <c r="L364"/>
    </row>
    <row r="365" spans="1:12" x14ac:dyDescent="0.3">
      <c r="A365" s="1">
        <v>5364</v>
      </c>
      <c r="B365" s="3" t="s">
        <v>871</v>
      </c>
      <c r="C365" s="3" t="s">
        <v>10</v>
      </c>
      <c r="D365" s="3" t="s">
        <v>61</v>
      </c>
      <c r="E365" s="1">
        <v>85797</v>
      </c>
      <c r="F365" s="2" t="s">
        <v>214</v>
      </c>
      <c r="G365" s="3" t="s">
        <v>13</v>
      </c>
      <c r="H365" s="1">
        <v>30</v>
      </c>
      <c r="I365" s="1">
        <v>2</v>
      </c>
      <c r="J365"/>
      <c r="K365"/>
      <c r="L365"/>
    </row>
    <row r="366" spans="1:12" x14ac:dyDescent="0.3">
      <c r="A366" s="1">
        <v>5365</v>
      </c>
      <c r="B366" s="3" t="s">
        <v>655</v>
      </c>
      <c r="C366" s="3" t="s">
        <v>39</v>
      </c>
      <c r="D366" s="3" t="s">
        <v>49</v>
      </c>
      <c r="E366" s="1">
        <v>102634</v>
      </c>
      <c r="F366" s="2" t="s">
        <v>656</v>
      </c>
      <c r="G366" s="3" t="s">
        <v>13</v>
      </c>
      <c r="H366" s="1">
        <v>47</v>
      </c>
      <c r="I366" s="1">
        <v>4</v>
      </c>
      <c r="J366"/>
      <c r="K366"/>
      <c r="L366"/>
    </row>
    <row r="367" spans="1:12" x14ac:dyDescent="0.3">
      <c r="A367" s="1">
        <v>5366</v>
      </c>
      <c r="B367" s="3" t="s">
        <v>421</v>
      </c>
      <c r="C367" s="3" t="s">
        <v>15</v>
      </c>
      <c r="D367" s="3" t="s">
        <v>20</v>
      </c>
      <c r="E367" s="1">
        <v>92682</v>
      </c>
      <c r="F367" s="2" t="s">
        <v>657</v>
      </c>
      <c r="G367" s="3" t="s">
        <v>13</v>
      </c>
      <c r="H367" s="1">
        <v>55</v>
      </c>
      <c r="I367" s="1">
        <v>4</v>
      </c>
      <c r="J367"/>
      <c r="K367"/>
      <c r="L367"/>
    </row>
    <row r="368" spans="1:12" x14ac:dyDescent="0.3">
      <c r="A368" s="1">
        <v>5367</v>
      </c>
      <c r="B368" s="3" t="s">
        <v>658</v>
      </c>
      <c r="C368" s="3" t="s">
        <v>26</v>
      </c>
      <c r="D368" s="3" t="s">
        <v>87</v>
      </c>
      <c r="E368" s="1">
        <v>87520</v>
      </c>
      <c r="F368" s="2" t="s">
        <v>659</v>
      </c>
      <c r="G368" s="3" t="s">
        <v>13</v>
      </c>
      <c r="H368" s="1">
        <v>48</v>
      </c>
      <c r="I368" s="1">
        <v>5</v>
      </c>
      <c r="J368"/>
      <c r="K368"/>
      <c r="L368"/>
    </row>
    <row r="369" spans="1:12" x14ac:dyDescent="0.3">
      <c r="A369" s="1">
        <v>5368</v>
      </c>
      <c r="B369" s="3" t="s">
        <v>660</v>
      </c>
      <c r="C369" s="3" t="s">
        <v>15</v>
      </c>
      <c r="D369" s="3" t="s">
        <v>49</v>
      </c>
      <c r="E369" s="1">
        <v>91415</v>
      </c>
      <c r="F369" s="2" t="s">
        <v>661</v>
      </c>
      <c r="G369" s="3" t="s">
        <v>13</v>
      </c>
      <c r="H369" s="1">
        <v>38</v>
      </c>
      <c r="I369" s="1">
        <v>3</v>
      </c>
      <c r="J369"/>
      <c r="K369"/>
      <c r="L369"/>
    </row>
    <row r="370" spans="1:12" x14ac:dyDescent="0.3">
      <c r="A370" s="1">
        <v>5369</v>
      </c>
      <c r="B370" s="3" t="s">
        <v>662</v>
      </c>
      <c r="C370" s="3" t="s">
        <v>63</v>
      </c>
      <c r="D370" s="3" t="s">
        <v>61</v>
      </c>
      <c r="E370" s="1">
        <v>44918</v>
      </c>
      <c r="F370" s="2" t="s">
        <v>663</v>
      </c>
      <c r="G370" s="3" t="s">
        <v>24</v>
      </c>
      <c r="H370" s="1">
        <v>46</v>
      </c>
      <c r="I370" s="1">
        <v>2</v>
      </c>
      <c r="J370"/>
      <c r="K370"/>
      <c r="L370"/>
    </row>
    <row r="371" spans="1:12" x14ac:dyDescent="0.3">
      <c r="A371" s="1">
        <v>5370</v>
      </c>
      <c r="B371" s="3" t="s">
        <v>664</v>
      </c>
      <c r="C371" s="3" t="s">
        <v>19</v>
      </c>
      <c r="D371" s="3" t="s">
        <v>27</v>
      </c>
      <c r="E371" s="1">
        <v>137988</v>
      </c>
      <c r="F371" s="2" t="s">
        <v>665</v>
      </c>
      <c r="G371" s="3" t="s">
        <v>13</v>
      </c>
      <c r="H371" s="1">
        <v>23</v>
      </c>
      <c r="I371" s="1">
        <v>5</v>
      </c>
      <c r="J371"/>
      <c r="K371"/>
      <c r="L371"/>
    </row>
    <row r="372" spans="1:12" x14ac:dyDescent="0.3">
      <c r="A372" s="1">
        <v>5371</v>
      </c>
      <c r="B372" s="3" t="s">
        <v>519</v>
      </c>
      <c r="C372" s="3" t="s">
        <v>10</v>
      </c>
      <c r="D372" s="3" t="s">
        <v>87</v>
      </c>
      <c r="E372" s="1">
        <v>35871</v>
      </c>
      <c r="F372" s="2" t="s">
        <v>666</v>
      </c>
      <c r="G372" s="3" t="s">
        <v>24</v>
      </c>
      <c r="H372" s="1">
        <v>49</v>
      </c>
      <c r="I372" s="1">
        <v>4</v>
      </c>
      <c r="J372"/>
      <c r="K372"/>
      <c r="L372"/>
    </row>
    <row r="373" spans="1:12" x14ac:dyDescent="0.3">
      <c r="A373" s="1">
        <v>5372</v>
      </c>
      <c r="B373" s="3" t="s">
        <v>667</v>
      </c>
      <c r="C373" s="3" t="s">
        <v>19</v>
      </c>
      <c r="D373" s="3" t="s">
        <v>16</v>
      </c>
      <c r="E373" s="1">
        <v>101771</v>
      </c>
      <c r="F373" s="2" t="s">
        <v>668</v>
      </c>
      <c r="G373" s="3" t="s">
        <v>24</v>
      </c>
      <c r="H373" s="1">
        <v>42</v>
      </c>
      <c r="I373" s="1">
        <v>4</v>
      </c>
      <c r="J373"/>
      <c r="K373"/>
      <c r="L373"/>
    </row>
    <row r="374" spans="1:12" x14ac:dyDescent="0.3">
      <c r="A374" s="1">
        <v>5373</v>
      </c>
      <c r="B374" s="3" t="s">
        <v>669</v>
      </c>
      <c r="C374" s="3" t="s">
        <v>39</v>
      </c>
      <c r="D374" s="3" t="s">
        <v>30</v>
      </c>
      <c r="E374" s="1">
        <v>52389</v>
      </c>
      <c r="F374" s="2" t="s">
        <v>670</v>
      </c>
      <c r="G374" s="3" t="s">
        <v>13</v>
      </c>
      <c r="H374" s="1">
        <v>21</v>
      </c>
      <c r="I374" s="1">
        <v>5</v>
      </c>
      <c r="J374"/>
      <c r="K374"/>
      <c r="L374"/>
    </row>
    <row r="375" spans="1:12" x14ac:dyDescent="0.3">
      <c r="A375" s="1">
        <v>5374</v>
      </c>
      <c r="B375" s="3" t="s">
        <v>671</v>
      </c>
      <c r="C375" s="3" t="s">
        <v>63</v>
      </c>
      <c r="D375" s="3" t="s">
        <v>36</v>
      </c>
      <c r="E375" s="1">
        <v>55590</v>
      </c>
      <c r="F375" s="2" t="s">
        <v>672</v>
      </c>
      <c r="G375" s="3" t="s">
        <v>24</v>
      </c>
      <c r="H375" s="1">
        <v>28</v>
      </c>
      <c r="I375" s="1">
        <v>1</v>
      </c>
      <c r="J375"/>
      <c r="K375"/>
      <c r="L375"/>
    </row>
    <row r="376" spans="1:12" x14ac:dyDescent="0.3">
      <c r="A376" s="1">
        <v>5375</v>
      </c>
      <c r="B376" s="3" t="s">
        <v>673</v>
      </c>
      <c r="C376" s="3" t="s">
        <v>15</v>
      </c>
      <c r="D376" s="3" t="s">
        <v>16</v>
      </c>
      <c r="E376" s="1">
        <v>101141</v>
      </c>
      <c r="F376" s="2" t="s">
        <v>674</v>
      </c>
      <c r="G376" s="3" t="s">
        <v>24</v>
      </c>
      <c r="H376" s="1">
        <v>47</v>
      </c>
      <c r="I376" s="1">
        <v>1</v>
      </c>
      <c r="J376"/>
      <c r="K376"/>
      <c r="L376"/>
    </row>
    <row r="377" spans="1:12" x14ac:dyDescent="0.3">
      <c r="A377" s="1">
        <v>5376</v>
      </c>
      <c r="B377" s="3" t="s">
        <v>675</v>
      </c>
      <c r="C377" s="3" t="s">
        <v>79</v>
      </c>
      <c r="D377" s="3" t="s">
        <v>61</v>
      </c>
      <c r="E377" s="1">
        <v>129108</v>
      </c>
      <c r="F377" s="2" t="s">
        <v>676</v>
      </c>
      <c r="G377" s="3" t="s">
        <v>13</v>
      </c>
      <c r="H377" s="1">
        <v>39</v>
      </c>
      <c r="I377" s="1">
        <v>2</v>
      </c>
      <c r="J377"/>
      <c r="K377"/>
      <c r="L377"/>
    </row>
    <row r="378" spans="1:12" x14ac:dyDescent="0.3">
      <c r="A378" s="1">
        <v>5377</v>
      </c>
      <c r="B378" s="3" t="s">
        <v>677</v>
      </c>
      <c r="C378" s="3" t="s">
        <v>10</v>
      </c>
      <c r="D378" s="3" t="s">
        <v>52</v>
      </c>
      <c r="E378" s="1">
        <v>87520</v>
      </c>
      <c r="F378" s="2" t="s">
        <v>678</v>
      </c>
      <c r="G378" s="3" t="s">
        <v>13</v>
      </c>
      <c r="H378" s="1">
        <v>36</v>
      </c>
      <c r="I378" s="1">
        <v>3</v>
      </c>
      <c r="J378"/>
      <c r="K378"/>
      <c r="L378"/>
    </row>
    <row r="379" spans="1:12" x14ac:dyDescent="0.3">
      <c r="A379" s="1">
        <v>5378</v>
      </c>
      <c r="B379" s="3" t="s">
        <v>679</v>
      </c>
      <c r="C379" s="3" t="s">
        <v>15</v>
      </c>
      <c r="D379" s="3" t="s">
        <v>27</v>
      </c>
      <c r="E379" s="1">
        <v>96678</v>
      </c>
      <c r="F379" s="2" t="s">
        <v>680</v>
      </c>
      <c r="G379" s="3" t="s">
        <v>24</v>
      </c>
      <c r="H379" s="1">
        <v>30</v>
      </c>
      <c r="I379" s="1">
        <v>1</v>
      </c>
      <c r="J379"/>
      <c r="K379"/>
      <c r="L379"/>
    </row>
    <row r="380" spans="1:12" x14ac:dyDescent="0.3">
      <c r="A380" s="1">
        <v>5379</v>
      </c>
      <c r="B380" s="3" t="s">
        <v>681</v>
      </c>
      <c r="C380" s="3" t="s">
        <v>44</v>
      </c>
      <c r="D380" s="3" t="s">
        <v>49</v>
      </c>
      <c r="E380" s="1">
        <v>49430</v>
      </c>
      <c r="F380" s="2" t="s">
        <v>682</v>
      </c>
      <c r="G380" s="3" t="s">
        <v>13</v>
      </c>
      <c r="H380" s="1">
        <v>27</v>
      </c>
      <c r="I380" s="1">
        <v>2</v>
      </c>
      <c r="J380"/>
      <c r="K380"/>
      <c r="L380"/>
    </row>
    <row r="381" spans="1:12" x14ac:dyDescent="0.3">
      <c r="A381" s="1">
        <v>5380</v>
      </c>
      <c r="B381" s="3" t="s">
        <v>683</v>
      </c>
      <c r="C381" s="3" t="s">
        <v>44</v>
      </c>
      <c r="D381" s="3" t="s">
        <v>36</v>
      </c>
      <c r="E381" s="1">
        <v>56650</v>
      </c>
      <c r="F381" s="2" t="s">
        <v>684</v>
      </c>
      <c r="G381" s="3" t="s">
        <v>24</v>
      </c>
      <c r="H381" s="1">
        <v>41</v>
      </c>
      <c r="I381" s="1">
        <v>3</v>
      </c>
      <c r="J381"/>
      <c r="K381"/>
      <c r="L381"/>
    </row>
    <row r="382" spans="1:12" x14ac:dyDescent="0.3">
      <c r="A382" s="1">
        <v>5381</v>
      </c>
      <c r="B382" s="3" t="s">
        <v>685</v>
      </c>
      <c r="C382" s="3" t="s">
        <v>35</v>
      </c>
      <c r="D382" s="3" t="s">
        <v>61</v>
      </c>
      <c r="E382" s="1">
        <v>112933</v>
      </c>
      <c r="F382" s="2" t="s">
        <v>686</v>
      </c>
      <c r="G382" s="3" t="s">
        <v>24</v>
      </c>
      <c r="H382" s="1">
        <v>25</v>
      </c>
      <c r="I382" s="1">
        <v>4</v>
      </c>
      <c r="J382"/>
      <c r="K382"/>
      <c r="L382"/>
    </row>
    <row r="383" spans="1:12" x14ac:dyDescent="0.3">
      <c r="A383" s="1">
        <v>5382</v>
      </c>
      <c r="B383" s="3" t="s">
        <v>687</v>
      </c>
      <c r="C383" s="3" t="s">
        <v>10</v>
      </c>
      <c r="D383" s="3" t="s">
        <v>49</v>
      </c>
      <c r="E383" s="1">
        <v>87520</v>
      </c>
      <c r="F383" s="2" t="s">
        <v>688</v>
      </c>
      <c r="G383" s="3" t="s">
        <v>24</v>
      </c>
      <c r="H383" s="1">
        <v>24</v>
      </c>
      <c r="I383" s="1">
        <v>3</v>
      </c>
      <c r="J383"/>
      <c r="K383"/>
      <c r="L383"/>
    </row>
    <row r="384" spans="1:12" x14ac:dyDescent="0.3">
      <c r="A384" s="1">
        <v>5383</v>
      </c>
      <c r="B384" s="3" t="s">
        <v>689</v>
      </c>
      <c r="C384" s="3" t="s">
        <v>79</v>
      </c>
      <c r="D384" s="3" t="s">
        <v>27</v>
      </c>
      <c r="E384" s="1">
        <v>33195</v>
      </c>
      <c r="F384" s="2" t="s">
        <v>690</v>
      </c>
      <c r="G384" s="3" t="s">
        <v>13</v>
      </c>
      <c r="H384" s="1">
        <v>21</v>
      </c>
      <c r="I384" s="1">
        <v>1</v>
      </c>
      <c r="J384"/>
      <c r="K384"/>
      <c r="L384"/>
    </row>
    <row r="385" spans="1:12" x14ac:dyDescent="0.3">
      <c r="A385" s="1">
        <v>5384</v>
      </c>
      <c r="B385" s="3" t="s">
        <v>691</v>
      </c>
      <c r="C385" s="3" t="s">
        <v>44</v>
      </c>
      <c r="D385" s="3" t="s">
        <v>16</v>
      </c>
      <c r="E385" s="1">
        <v>36855</v>
      </c>
      <c r="F385" s="2" t="s">
        <v>692</v>
      </c>
      <c r="G385" s="3" t="s">
        <v>13</v>
      </c>
      <c r="H385" s="1">
        <v>32</v>
      </c>
      <c r="I385" s="1">
        <v>1</v>
      </c>
      <c r="J385"/>
      <c r="K385"/>
      <c r="L385"/>
    </row>
    <row r="386" spans="1:12" x14ac:dyDescent="0.3">
      <c r="A386" s="1">
        <v>5385</v>
      </c>
      <c r="B386" s="3" t="s">
        <v>564</v>
      </c>
      <c r="C386" s="3" t="s">
        <v>10</v>
      </c>
      <c r="D386" s="3" t="s">
        <v>11</v>
      </c>
      <c r="E386" s="1">
        <v>46032</v>
      </c>
      <c r="F386" s="2" t="s">
        <v>693</v>
      </c>
      <c r="G386" s="3" t="s">
        <v>24</v>
      </c>
      <c r="H386" s="1">
        <v>52</v>
      </c>
      <c r="I386" s="1">
        <v>2</v>
      </c>
      <c r="J386"/>
      <c r="K386"/>
      <c r="L386"/>
    </row>
    <row r="387" spans="1:12" x14ac:dyDescent="0.3">
      <c r="A387" s="1">
        <v>5386</v>
      </c>
      <c r="B387" s="3" t="s">
        <v>694</v>
      </c>
      <c r="C387" s="3" t="s">
        <v>35</v>
      </c>
      <c r="D387" s="3" t="s">
        <v>16</v>
      </c>
      <c r="E387" s="1">
        <v>147603</v>
      </c>
      <c r="F387" s="2" t="s">
        <v>695</v>
      </c>
      <c r="G387" s="3" t="s">
        <v>13</v>
      </c>
      <c r="H387" s="1">
        <v>55</v>
      </c>
      <c r="I387" s="1">
        <v>4</v>
      </c>
      <c r="J387"/>
      <c r="K387"/>
      <c r="L387"/>
    </row>
    <row r="388" spans="1:12" x14ac:dyDescent="0.3">
      <c r="A388" s="1">
        <v>5387</v>
      </c>
      <c r="B388" s="3" t="s">
        <v>130</v>
      </c>
      <c r="C388" s="3" t="s">
        <v>39</v>
      </c>
      <c r="D388" s="3" t="s">
        <v>87</v>
      </c>
      <c r="E388" s="1">
        <v>61028</v>
      </c>
      <c r="F388" s="2" t="s">
        <v>696</v>
      </c>
      <c r="G388" s="3" t="s">
        <v>13</v>
      </c>
      <c r="H388" s="1">
        <v>52</v>
      </c>
      <c r="I388" s="1">
        <v>2</v>
      </c>
      <c r="J388"/>
      <c r="K388"/>
      <c r="L388"/>
    </row>
    <row r="389" spans="1:12" x14ac:dyDescent="0.3">
      <c r="A389" s="1">
        <v>5388</v>
      </c>
      <c r="B389" s="3" t="s">
        <v>610</v>
      </c>
      <c r="C389" s="3" t="s">
        <v>19</v>
      </c>
      <c r="D389" s="3" t="s">
        <v>16</v>
      </c>
      <c r="E389" s="1">
        <v>138434</v>
      </c>
      <c r="F389" s="2" t="s">
        <v>422</v>
      </c>
      <c r="G389" s="3" t="s">
        <v>13</v>
      </c>
      <c r="H389" s="1">
        <v>44</v>
      </c>
      <c r="I389" s="1">
        <v>1</v>
      </c>
      <c r="J389"/>
      <c r="K389"/>
      <c r="L389"/>
    </row>
    <row r="390" spans="1:12" x14ac:dyDescent="0.3">
      <c r="A390" s="1">
        <v>5389</v>
      </c>
      <c r="B390" s="3" t="s">
        <v>697</v>
      </c>
      <c r="C390" s="3" t="s">
        <v>63</v>
      </c>
      <c r="D390" s="3" t="s">
        <v>16</v>
      </c>
      <c r="E390" s="1">
        <v>74114</v>
      </c>
      <c r="F390" s="2" t="s">
        <v>698</v>
      </c>
      <c r="G390" s="3" t="s">
        <v>13</v>
      </c>
      <c r="H390" s="1">
        <v>36</v>
      </c>
      <c r="I390" s="1">
        <v>5</v>
      </c>
      <c r="J390"/>
      <c r="K390"/>
      <c r="L390"/>
    </row>
    <row r="391" spans="1:12" x14ac:dyDescent="0.3">
      <c r="A391" s="1">
        <v>5390</v>
      </c>
      <c r="B391" s="3" t="s">
        <v>699</v>
      </c>
      <c r="C391" s="3" t="s">
        <v>79</v>
      </c>
      <c r="D391" s="3" t="s">
        <v>61</v>
      </c>
      <c r="E391" s="1">
        <v>87520</v>
      </c>
      <c r="F391" s="2" t="s">
        <v>700</v>
      </c>
      <c r="G391" s="3" t="s">
        <v>13</v>
      </c>
      <c r="H391" s="1">
        <v>54</v>
      </c>
      <c r="I391" s="1">
        <v>2</v>
      </c>
      <c r="J391"/>
      <c r="K391"/>
      <c r="L391"/>
    </row>
    <row r="392" spans="1:12" x14ac:dyDescent="0.3">
      <c r="A392" s="1">
        <v>5391</v>
      </c>
      <c r="B392" s="3" t="s">
        <v>701</v>
      </c>
      <c r="C392" s="3" t="s">
        <v>44</v>
      </c>
      <c r="D392" s="3" t="s">
        <v>30</v>
      </c>
      <c r="E392" s="1">
        <v>107113</v>
      </c>
      <c r="F392" s="2" t="s">
        <v>544</v>
      </c>
      <c r="G392" s="3" t="s">
        <v>13</v>
      </c>
      <c r="H392" s="1">
        <v>25</v>
      </c>
      <c r="I392" s="1">
        <v>3</v>
      </c>
      <c r="J392"/>
      <c r="K392"/>
      <c r="L392"/>
    </row>
    <row r="393" spans="1:12" x14ac:dyDescent="0.3">
      <c r="A393" s="1">
        <v>5392</v>
      </c>
      <c r="B393" s="3" t="s">
        <v>702</v>
      </c>
      <c r="C393" s="3" t="s">
        <v>35</v>
      </c>
      <c r="D393" s="3" t="s">
        <v>49</v>
      </c>
      <c r="E393" s="1">
        <v>28511</v>
      </c>
      <c r="F393" s="2" t="s">
        <v>703</v>
      </c>
      <c r="G393" s="3" t="s">
        <v>13</v>
      </c>
      <c r="H393" s="1">
        <v>35</v>
      </c>
      <c r="I393" s="1">
        <v>2</v>
      </c>
      <c r="J393"/>
      <c r="K393"/>
      <c r="L393"/>
    </row>
    <row r="394" spans="1:12" x14ac:dyDescent="0.3">
      <c r="A394" s="1">
        <v>5393</v>
      </c>
      <c r="B394" s="3" t="s">
        <v>704</v>
      </c>
      <c r="C394" s="3" t="s">
        <v>39</v>
      </c>
      <c r="D394" s="3" t="s">
        <v>87</v>
      </c>
      <c r="E394" s="1">
        <v>60461</v>
      </c>
      <c r="F394" s="2" t="s">
        <v>705</v>
      </c>
      <c r="G394" s="3" t="s">
        <v>24</v>
      </c>
      <c r="H394" s="1">
        <v>30</v>
      </c>
      <c r="I394" s="1">
        <v>1</v>
      </c>
      <c r="J394"/>
      <c r="K394"/>
      <c r="L394"/>
    </row>
    <row r="395" spans="1:12" x14ac:dyDescent="0.3">
      <c r="A395" s="1">
        <v>5394</v>
      </c>
      <c r="B395" s="3" t="s">
        <v>706</v>
      </c>
      <c r="C395" s="3" t="s">
        <v>35</v>
      </c>
      <c r="D395" s="3" t="s">
        <v>27</v>
      </c>
      <c r="E395" s="1">
        <v>57784</v>
      </c>
      <c r="F395" s="2" t="s">
        <v>707</v>
      </c>
      <c r="G395" s="3" t="s">
        <v>24</v>
      </c>
      <c r="H395" s="1">
        <v>24</v>
      </c>
      <c r="I395" s="1">
        <v>2</v>
      </c>
      <c r="J395"/>
      <c r="K395"/>
      <c r="L395"/>
    </row>
    <row r="396" spans="1:12" x14ac:dyDescent="0.3">
      <c r="A396" s="1">
        <v>5395</v>
      </c>
      <c r="B396" s="3" t="s">
        <v>708</v>
      </c>
      <c r="C396" s="3" t="s">
        <v>15</v>
      </c>
      <c r="D396" s="3" t="s">
        <v>61</v>
      </c>
      <c r="E396" s="1">
        <v>134185</v>
      </c>
      <c r="F396" s="2" t="s">
        <v>709</v>
      </c>
      <c r="G396" s="3" t="s">
        <v>13</v>
      </c>
      <c r="H396" s="1">
        <v>55</v>
      </c>
      <c r="I396" s="1">
        <v>2</v>
      </c>
      <c r="J396"/>
      <c r="K396"/>
      <c r="L396"/>
    </row>
    <row r="397" spans="1:12" x14ac:dyDescent="0.3">
      <c r="A397" s="1">
        <v>5396</v>
      </c>
      <c r="B397" s="3" t="s">
        <v>710</v>
      </c>
      <c r="C397" s="3" t="s">
        <v>19</v>
      </c>
      <c r="D397" s="3" t="s">
        <v>16</v>
      </c>
      <c r="E397" s="1">
        <v>120294</v>
      </c>
      <c r="F397" s="2" t="s">
        <v>711</v>
      </c>
      <c r="G397" s="3" t="s">
        <v>24</v>
      </c>
      <c r="H397" s="1">
        <v>33</v>
      </c>
      <c r="I397" s="1">
        <v>5</v>
      </c>
      <c r="J397"/>
      <c r="K397"/>
      <c r="L397"/>
    </row>
    <row r="398" spans="1:12" x14ac:dyDescent="0.3">
      <c r="A398" s="1">
        <v>5397</v>
      </c>
      <c r="B398" s="3" t="s">
        <v>712</v>
      </c>
      <c r="C398" s="3" t="s">
        <v>79</v>
      </c>
      <c r="D398" s="3" t="s">
        <v>16</v>
      </c>
      <c r="E398" s="1">
        <v>87520</v>
      </c>
      <c r="F398" s="2" t="s">
        <v>713</v>
      </c>
      <c r="G398" s="3" t="s">
        <v>24</v>
      </c>
      <c r="H398" s="1">
        <v>21</v>
      </c>
      <c r="I398" s="1">
        <v>5</v>
      </c>
      <c r="J398"/>
      <c r="K398"/>
      <c r="L398"/>
    </row>
    <row r="399" spans="1:12" x14ac:dyDescent="0.3">
      <c r="A399" s="1">
        <v>5398</v>
      </c>
      <c r="B399" s="3" t="s">
        <v>714</v>
      </c>
      <c r="C399" s="3" t="s">
        <v>26</v>
      </c>
      <c r="D399" s="3" t="s">
        <v>27</v>
      </c>
      <c r="E399" s="1">
        <v>104787</v>
      </c>
      <c r="F399" s="2" t="s">
        <v>715</v>
      </c>
      <c r="G399" s="3" t="s">
        <v>24</v>
      </c>
      <c r="H399" s="1">
        <v>49</v>
      </c>
      <c r="I399" s="1">
        <v>2</v>
      </c>
      <c r="J399"/>
      <c r="K399"/>
      <c r="L399"/>
    </row>
    <row r="400" spans="1:12" x14ac:dyDescent="0.3">
      <c r="A400" s="1">
        <v>5399</v>
      </c>
      <c r="B400" s="3" t="s">
        <v>716</v>
      </c>
      <c r="C400" s="3" t="s">
        <v>79</v>
      </c>
      <c r="D400" s="3" t="s">
        <v>36</v>
      </c>
      <c r="E400" s="1">
        <v>30874</v>
      </c>
      <c r="F400" s="2" t="s">
        <v>717</v>
      </c>
      <c r="G400" s="3" t="s">
        <v>24</v>
      </c>
      <c r="H400" s="1">
        <v>55</v>
      </c>
      <c r="I400" s="1">
        <v>1</v>
      </c>
      <c r="J400"/>
      <c r="K400"/>
      <c r="L400"/>
    </row>
    <row r="401" spans="1:12" x14ac:dyDescent="0.3">
      <c r="A401" s="1">
        <v>5400</v>
      </c>
      <c r="B401" s="3" t="s">
        <v>1565</v>
      </c>
      <c r="C401" s="3" t="s">
        <v>35</v>
      </c>
      <c r="D401" s="3" t="s">
        <v>52</v>
      </c>
      <c r="E401" s="1">
        <v>70453</v>
      </c>
      <c r="F401" s="2" t="s">
        <v>718</v>
      </c>
      <c r="G401" s="3" t="s">
        <v>24</v>
      </c>
      <c r="H401" s="1">
        <v>48</v>
      </c>
      <c r="I401" s="1">
        <v>5</v>
      </c>
      <c r="J401"/>
      <c r="K401"/>
      <c r="L401"/>
    </row>
    <row r="402" spans="1:12" x14ac:dyDescent="0.3">
      <c r="A402" s="1">
        <v>5401</v>
      </c>
      <c r="B402" s="3" t="s">
        <v>176</v>
      </c>
      <c r="C402" s="3" t="s">
        <v>39</v>
      </c>
      <c r="D402" s="3" t="s">
        <v>11</v>
      </c>
      <c r="E402" s="1">
        <v>123478</v>
      </c>
      <c r="F402" s="2" t="s">
        <v>544</v>
      </c>
      <c r="G402" s="3" t="s">
        <v>13</v>
      </c>
      <c r="H402" s="1">
        <v>22</v>
      </c>
      <c r="I402" s="1">
        <v>5</v>
      </c>
      <c r="J402"/>
      <c r="K402"/>
      <c r="L402"/>
    </row>
    <row r="403" spans="1:12" x14ac:dyDescent="0.3">
      <c r="A403" s="1">
        <v>5402</v>
      </c>
      <c r="B403" s="3" t="s">
        <v>1123</v>
      </c>
      <c r="C403" s="3" t="s">
        <v>15</v>
      </c>
      <c r="D403" s="3" t="s">
        <v>49</v>
      </c>
      <c r="E403" s="1">
        <v>118368</v>
      </c>
      <c r="F403" s="2" t="s">
        <v>719</v>
      </c>
      <c r="G403" s="3" t="s">
        <v>24</v>
      </c>
      <c r="H403" s="1">
        <v>55</v>
      </c>
      <c r="I403" s="1">
        <v>5</v>
      </c>
      <c r="J403"/>
      <c r="K403"/>
      <c r="L403"/>
    </row>
    <row r="404" spans="1:12" x14ac:dyDescent="0.3">
      <c r="A404" s="1">
        <v>5403</v>
      </c>
      <c r="B404" s="3" t="s">
        <v>720</v>
      </c>
      <c r="C404" s="3" t="s">
        <v>70</v>
      </c>
      <c r="D404" s="3" t="s">
        <v>36</v>
      </c>
      <c r="E404" s="1">
        <v>63381</v>
      </c>
      <c r="F404" s="2" t="s">
        <v>721</v>
      </c>
      <c r="G404" s="3" t="s">
        <v>24</v>
      </c>
      <c r="H404" s="1">
        <v>36</v>
      </c>
      <c r="I404" s="1">
        <v>4</v>
      </c>
      <c r="J404"/>
      <c r="K404"/>
      <c r="L404"/>
    </row>
    <row r="405" spans="1:12" x14ac:dyDescent="0.3">
      <c r="A405" s="1">
        <v>5404</v>
      </c>
      <c r="B405" s="3" t="s">
        <v>722</v>
      </c>
      <c r="C405" s="3" t="s">
        <v>70</v>
      </c>
      <c r="D405" s="3" t="s">
        <v>11</v>
      </c>
      <c r="E405" s="1">
        <v>66987</v>
      </c>
      <c r="F405" s="2" t="s">
        <v>723</v>
      </c>
      <c r="G405" s="3" t="s">
        <v>13</v>
      </c>
      <c r="H405" s="1">
        <v>45</v>
      </c>
      <c r="I405" s="1">
        <v>4</v>
      </c>
      <c r="J405"/>
      <c r="K405"/>
      <c r="L405"/>
    </row>
    <row r="406" spans="1:12" x14ac:dyDescent="0.3">
      <c r="A406" s="1">
        <v>5405</v>
      </c>
      <c r="B406" s="3" t="s">
        <v>14</v>
      </c>
      <c r="C406" s="3" t="s">
        <v>35</v>
      </c>
      <c r="D406" s="3" t="s">
        <v>36</v>
      </c>
      <c r="E406" s="1">
        <v>43809</v>
      </c>
      <c r="F406" s="2" t="s">
        <v>724</v>
      </c>
      <c r="G406" s="3" t="s">
        <v>13</v>
      </c>
      <c r="H406" s="1">
        <v>47</v>
      </c>
      <c r="I406" s="1">
        <v>2</v>
      </c>
      <c r="J406"/>
      <c r="K406"/>
      <c r="L406"/>
    </row>
    <row r="407" spans="1:12" x14ac:dyDescent="0.3">
      <c r="A407" s="1">
        <v>5406</v>
      </c>
      <c r="B407" s="3" t="s">
        <v>564</v>
      </c>
      <c r="C407" s="3" t="s">
        <v>63</v>
      </c>
      <c r="D407" s="3" t="s">
        <v>11</v>
      </c>
      <c r="E407" s="1">
        <v>65785</v>
      </c>
      <c r="F407" s="2" t="s">
        <v>725</v>
      </c>
      <c r="G407" s="3" t="s">
        <v>24</v>
      </c>
      <c r="H407" s="1">
        <v>50</v>
      </c>
      <c r="I407" s="1">
        <v>5</v>
      </c>
      <c r="J407"/>
      <c r="K407"/>
      <c r="L407"/>
    </row>
    <row r="408" spans="1:12" x14ac:dyDescent="0.3">
      <c r="A408" s="1">
        <v>5407</v>
      </c>
      <c r="B408" s="3" t="s">
        <v>924</v>
      </c>
      <c r="C408" s="3" t="s">
        <v>35</v>
      </c>
      <c r="D408" s="3" t="s">
        <v>52</v>
      </c>
      <c r="E408" s="1">
        <v>131760</v>
      </c>
      <c r="F408" s="2" t="s">
        <v>726</v>
      </c>
      <c r="G408" s="3" t="s">
        <v>24</v>
      </c>
      <c r="H408" s="1">
        <v>48</v>
      </c>
      <c r="I408" s="1">
        <v>4</v>
      </c>
      <c r="J408"/>
      <c r="K408"/>
      <c r="L408"/>
    </row>
    <row r="409" spans="1:12" x14ac:dyDescent="0.3">
      <c r="A409" s="1">
        <v>5408</v>
      </c>
      <c r="B409" s="3" t="s">
        <v>727</v>
      </c>
      <c r="C409" s="3" t="s">
        <v>39</v>
      </c>
      <c r="D409" s="3" t="s">
        <v>16</v>
      </c>
      <c r="E409" s="1">
        <v>58455</v>
      </c>
      <c r="F409" s="2" t="s">
        <v>728</v>
      </c>
      <c r="G409" s="3" t="s">
        <v>24</v>
      </c>
      <c r="H409" s="1">
        <v>51</v>
      </c>
      <c r="I409" s="1">
        <v>3</v>
      </c>
      <c r="J409"/>
      <c r="K409"/>
      <c r="L409"/>
    </row>
    <row r="410" spans="1:12" x14ac:dyDescent="0.3">
      <c r="A410" s="1">
        <v>5409</v>
      </c>
      <c r="B410" s="3" t="s">
        <v>140</v>
      </c>
      <c r="C410" s="3" t="s">
        <v>10</v>
      </c>
      <c r="D410" s="3" t="s">
        <v>36</v>
      </c>
      <c r="E410" s="1">
        <v>99706</v>
      </c>
      <c r="F410" s="2" t="s">
        <v>125</v>
      </c>
      <c r="G410" s="3" t="s">
        <v>13</v>
      </c>
      <c r="H410" s="1">
        <v>44</v>
      </c>
      <c r="I410" s="1">
        <v>1</v>
      </c>
      <c r="J410"/>
      <c r="K410"/>
      <c r="L410"/>
    </row>
    <row r="411" spans="1:12" x14ac:dyDescent="0.3">
      <c r="A411" s="1">
        <v>5410</v>
      </c>
      <c r="B411" s="3" t="s">
        <v>729</v>
      </c>
      <c r="C411" s="3" t="s">
        <v>35</v>
      </c>
      <c r="D411" s="3" t="s">
        <v>52</v>
      </c>
      <c r="E411" s="1">
        <v>53779</v>
      </c>
      <c r="F411" s="2" t="s">
        <v>730</v>
      </c>
      <c r="G411" s="3" t="s">
        <v>13</v>
      </c>
      <c r="H411" s="1">
        <v>23</v>
      </c>
      <c r="I411" s="1">
        <v>5</v>
      </c>
      <c r="J411"/>
      <c r="K411"/>
      <c r="L411"/>
    </row>
    <row r="412" spans="1:12" x14ac:dyDescent="0.3">
      <c r="A412" s="1">
        <v>5411</v>
      </c>
      <c r="B412" s="3" t="s">
        <v>731</v>
      </c>
      <c r="C412" s="3" t="s">
        <v>35</v>
      </c>
      <c r="D412" s="3" t="s">
        <v>36</v>
      </c>
      <c r="E412" s="1">
        <v>46259</v>
      </c>
      <c r="F412" s="2" t="s">
        <v>732</v>
      </c>
      <c r="G412" s="3" t="s">
        <v>24</v>
      </c>
      <c r="H412" s="1">
        <v>28</v>
      </c>
      <c r="I412" s="1">
        <v>4</v>
      </c>
      <c r="J412"/>
      <c r="K412"/>
      <c r="L412"/>
    </row>
    <row r="413" spans="1:12" x14ac:dyDescent="0.3">
      <c r="A413" s="1">
        <v>5412</v>
      </c>
      <c r="B413" s="3" t="s">
        <v>500</v>
      </c>
      <c r="C413" s="3" t="s">
        <v>44</v>
      </c>
      <c r="D413" s="3" t="s">
        <v>36</v>
      </c>
      <c r="E413" s="1">
        <v>86605</v>
      </c>
      <c r="F413" s="2" t="s">
        <v>733</v>
      </c>
      <c r="G413" s="3" t="s">
        <v>13</v>
      </c>
      <c r="H413" s="1">
        <v>54</v>
      </c>
      <c r="I413" s="1">
        <v>3</v>
      </c>
      <c r="J413"/>
      <c r="K413"/>
      <c r="L413"/>
    </row>
    <row r="414" spans="1:12" x14ac:dyDescent="0.3">
      <c r="A414" s="1">
        <v>5413</v>
      </c>
      <c r="B414" s="3" t="s">
        <v>734</v>
      </c>
      <c r="C414" s="3" t="s">
        <v>10</v>
      </c>
      <c r="D414" s="3" t="s">
        <v>27</v>
      </c>
      <c r="E414" s="1">
        <v>34756</v>
      </c>
      <c r="F414" s="2" t="s">
        <v>735</v>
      </c>
      <c r="G414" s="3" t="s">
        <v>24</v>
      </c>
      <c r="H414" s="1">
        <v>46</v>
      </c>
      <c r="I414" s="1">
        <v>2</v>
      </c>
      <c r="J414"/>
      <c r="K414"/>
      <c r="L414"/>
    </row>
    <row r="415" spans="1:12" x14ac:dyDescent="0.3">
      <c r="A415" s="1">
        <v>5414</v>
      </c>
      <c r="B415" s="3" t="s">
        <v>736</v>
      </c>
      <c r="C415" s="3" t="s">
        <v>35</v>
      </c>
      <c r="D415" s="3" t="s">
        <v>87</v>
      </c>
      <c r="E415" s="1">
        <v>38011</v>
      </c>
      <c r="F415" s="2" t="s">
        <v>737</v>
      </c>
      <c r="G415" s="3" t="s">
        <v>13</v>
      </c>
      <c r="H415" s="1">
        <v>43</v>
      </c>
      <c r="I415" s="1">
        <v>3</v>
      </c>
      <c r="J415"/>
      <c r="K415"/>
      <c r="L415"/>
    </row>
    <row r="416" spans="1:12" x14ac:dyDescent="0.3">
      <c r="A416" s="1">
        <v>5415</v>
      </c>
      <c r="B416" s="3" t="s">
        <v>948</v>
      </c>
      <c r="C416" s="3" t="s">
        <v>35</v>
      </c>
      <c r="D416" s="3" t="s">
        <v>30</v>
      </c>
      <c r="E416" s="1">
        <v>69414</v>
      </c>
      <c r="F416" s="2" t="s">
        <v>738</v>
      </c>
      <c r="G416" s="3" t="s">
        <v>13</v>
      </c>
      <c r="H416" s="1">
        <v>34</v>
      </c>
      <c r="I416" s="1">
        <v>4</v>
      </c>
      <c r="J416"/>
      <c r="K416"/>
      <c r="L416"/>
    </row>
    <row r="417" spans="1:12" x14ac:dyDescent="0.3">
      <c r="A417" s="1">
        <v>5416</v>
      </c>
      <c r="B417" s="3" t="s">
        <v>739</v>
      </c>
      <c r="C417" s="3" t="s">
        <v>35</v>
      </c>
      <c r="D417" s="3" t="s">
        <v>87</v>
      </c>
      <c r="E417" s="1">
        <v>112210</v>
      </c>
      <c r="F417" s="2" t="s">
        <v>740</v>
      </c>
      <c r="G417" s="3" t="s">
        <v>13</v>
      </c>
      <c r="H417" s="1">
        <v>22</v>
      </c>
      <c r="I417" s="1">
        <v>4</v>
      </c>
      <c r="J417"/>
      <c r="K417"/>
      <c r="L417"/>
    </row>
    <row r="418" spans="1:12" x14ac:dyDescent="0.3">
      <c r="A418" s="1">
        <v>5417</v>
      </c>
      <c r="B418" s="3" t="s">
        <v>741</v>
      </c>
      <c r="C418" s="3" t="s">
        <v>35</v>
      </c>
      <c r="D418" s="3" t="s">
        <v>61</v>
      </c>
      <c r="E418" s="1">
        <v>128980</v>
      </c>
      <c r="F418" s="2" t="s">
        <v>742</v>
      </c>
      <c r="G418" s="3" t="s">
        <v>24</v>
      </c>
      <c r="H418" s="1">
        <v>37</v>
      </c>
      <c r="I418" s="1">
        <v>5</v>
      </c>
      <c r="J418"/>
      <c r="K418"/>
      <c r="L418"/>
    </row>
    <row r="419" spans="1:12" x14ac:dyDescent="0.3">
      <c r="A419" s="1">
        <v>5418</v>
      </c>
      <c r="B419" s="3" t="s">
        <v>1248</v>
      </c>
      <c r="C419" s="3" t="s">
        <v>10</v>
      </c>
      <c r="D419" s="3" t="s">
        <v>36</v>
      </c>
      <c r="E419" s="1">
        <v>93494</v>
      </c>
      <c r="F419" s="2" t="s">
        <v>743</v>
      </c>
      <c r="G419" s="3" t="s">
        <v>24</v>
      </c>
      <c r="H419" s="1">
        <v>34</v>
      </c>
      <c r="I419" s="1">
        <v>4</v>
      </c>
      <c r="J419"/>
      <c r="K419"/>
      <c r="L419"/>
    </row>
    <row r="420" spans="1:12" x14ac:dyDescent="0.3">
      <c r="A420" s="1">
        <v>5419</v>
      </c>
      <c r="B420" s="3" t="s">
        <v>744</v>
      </c>
      <c r="C420" s="3" t="s">
        <v>35</v>
      </c>
      <c r="D420" s="3" t="s">
        <v>30</v>
      </c>
      <c r="E420" s="1">
        <v>138254</v>
      </c>
      <c r="F420" s="2" t="s">
        <v>745</v>
      </c>
      <c r="G420" s="3" t="s">
        <v>24</v>
      </c>
      <c r="H420" s="1">
        <v>37</v>
      </c>
      <c r="I420" s="1">
        <v>4</v>
      </c>
      <c r="J420"/>
      <c r="K420"/>
      <c r="L420"/>
    </row>
    <row r="421" spans="1:12" x14ac:dyDescent="0.3">
      <c r="A421" s="1">
        <v>5420</v>
      </c>
      <c r="B421" s="3" t="s">
        <v>145</v>
      </c>
      <c r="C421" s="3" t="s">
        <v>19</v>
      </c>
      <c r="D421" s="3" t="s">
        <v>11</v>
      </c>
      <c r="E421" s="1">
        <v>96367</v>
      </c>
      <c r="F421" s="2" t="s">
        <v>746</v>
      </c>
      <c r="G421" s="3" t="s">
        <v>24</v>
      </c>
      <c r="H421" s="1">
        <v>28</v>
      </c>
      <c r="I421" s="1">
        <v>3</v>
      </c>
      <c r="J421"/>
      <c r="K421"/>
      <c r="L421"/>
    </row>
    <row r="422" spans="1:12" x14ac:dyDescent="0.3">
      <c r="A422" s="1">
        <v>5421</v>
      </c>
      <c r="B422" s="3" t="s">
        <v>747</v>
      </c>
      <c r="C422" s="3" t="s">
        <v>35</v>
      </c>
      <c r="D422" s="3" t="s">
        <v>61</v>
      </c>
      <c r="E422" s="1">
        <v>64619</v>
      </c>
      <c r="F422" s="2" t="s">
        <v>748</v>
      </c>
      <c r="G422" s="3" t="s">
        <v>13</v>
      </c>
      <c r="H422" s="1">
        <v>44</v>
      </c>
      <c r="I422" s="1">
        <v>5</v>
      </c>
      <c r="J422"/>
      <c r="K422"/>
      <c r="L422"/>
    </row>
    <row r="423" spans="1:12" x14ac:dyDescent="0.3">
      <c r="A423" s="1">
        <v>5422</v>
      </c>
      <c r="B423" s="3" t="s">
        <v>749</v>
      </c>
      <c r="C423" s="3" t="s">
        <v>26</v>
      </c>
      <c r="D423" s="3" t="s">
        <v>61</v>
      </c>
      <c r="E423" s="1">
        <v>106637</v>
      </c>
      <c r="F423" s="2" t="s">
        <v>750</v>
      </c>
      <c r="G423" s="3" t="s">
        <v>13</v>
      </c>
      <c r="H423" s="1">
        <v>40</v>
      </c>
      <c r="I423" s="1">
        <v>3</v>
      </c>
      <c r="J423"/>
      <c r="K423"/>
      <c r="L423"/>
    </row>
    <row r="424" spans="1:12" x14ac:dyDescent="0.3">
      <c r="A424" s="1">
        <v>5423</v>
      </c>
      <c r="B424" s="3" t="s">
        <v>251</v>
      </c>
      <c r="C424" s="3" t="s">
        <v>10</v>
      </c>
      <c r="D424" s="3" t="s">
        <v>49</v>
      </c>
      <c r="E424" s="1">
        <v>36171</v>
      </c>
      <c r="F424" s="2" t="s">
        <v>751</v>
      </c>
      <c r="G424" s="3" t="s">
        <v>13</v>
      </c>
      <c r="H424" s="1">
        <v>55</v>
      </c>
      <c r="I424" s="1">
        <v>1</v>
      </c>
      <c r="J424"/>
      <c r="K424"/>
      <c r="L424"/>
    </row>
    <row r="425" spans="1:12" x14ac:dyDescent="0.3">
      <c r="A425" s="1">
        <v>5424</v>
      </c>
      <c r="B425" s="3" t="s">
        <v>689</v>
      </c>
      <c r="C425" s="3" t="s">
        <v>35</v>
      </c>
      <c r="D425" s="3" t="s">
        <v>49</v>
      </c>
      <c r="E425" s="1">
        <v>87520</v>
      </c>
      <c r="F425" s="2" t="s">
        <v>752</v>
      </c>
      <c r="G425" s="3" t="s">
        <v>13</v>
      </c>
      <c r="H425" s="1">
        <v>31</v>
      </c>
      <c r="I425" s="1">
        <v>2</v>
      </c>
      <c r="J425"/>
      <c r="K425"/>
      <c r="L425"/>
    </row>
    <row r="426" spans="1:12" x14ac:dyDescent="0.3">
      <c r="A426" s="1">
        <v>5425</v>
      </c>
      <c r="B426" s="3" t="s">
        <v>753</v>
      </c>
      <c r="C426" s="3" t="s">
        <v>15</v>
      </c>
      <c r="D426" s="3" t="s">
        <v>36</v>
      </c>
      <c r="E426" s="1">
        <v>139189</v>
      </c>
      <c r="F426" s="2" t="s">
        <v>754</v>
      </c>
      <c r="G426" s="3" t="s">
        <v>24</v>
      </c>
      <c r="H426" s="1">
        <v>39</v>
      </c>
      <c r="I426" s="1">
        <v>1</v>
      </c>
      <c r="J426"/>
      <c r="K426"/>
      <c r="L426"/>
    </row>
    <row r="427" spans="1:12" x14ac:dyDescent="0.3">
      <c r="A427" s="1">
        <v>5426</v>
      </c>
      <c r="B427" s="3" t="s">
        <v>755</v>
      </c>
      <c r="C427" s="3" t="s">
        <v>39</v>
      </c>
      <c r="D427" s="3" t="s">
        <v>36</v>
      </c>
      <c r="E427" s="1">
        <v>79477</v>
      </c>
      <c r="F427" s="2" t="s">
        <v>756</v>
      </c>
      <c r="G427" s="3" t="s">
        <v>1534</v>
      </c>
      <c r="H427" s="1">
        <v>39</v>
      </c>
      <c r="I427" s="1">
        <v>2</v>
      </c>
      <c r="J427"/>
      <c r="K427"/>
      <c r="L427"/>
    </row>
    <row r="428" spans="1:12" x14ac:dyDescent="0.3">
      <c r="A428" s="1">
        <v>5427</v>
      </c>
      <c r="B428" s="3" t="s">
        <v>757</v>
      </c>
      <c r="C428" s="3" t="s">
        <v>35</v>
      </c>
      <c r="D428" s="3" t="s">
        <v>11</v>
      </c>
      <c r="E428" s="1">
        <v>98416</v>
      </c>
      <c r="F428" s="2" t="s">
        <v>758</v>
      </c>
      <c r="G428" s="3" t="s">
        <v>24</v>
      </c>
      <c r="H428" s="1">
        <v>24</v>
      </c>
      <c r="I428" s="1">
        <v>3</v>
      </c>
      <c r="J428"/>
      <c r="K428"/>
      <c r="L428"/>
    </row>
    <row r="429" spans="1:12" x14ac:dyDescent="0.3">
      <c r="A429" s="1">
        <v>5428</v>
      </c>
      <c r="B429" s="3" t="s">
        <v>759</v>
      </c>
      <c r="C429" s="3" t="s">
        <v>10</v>
      </c>
      <c r="D429" s="3" t="s">
        <v>11</v>
      </c>
      <c r="E429" s="1">
        <v>88293</v>
      </c>
      <c r="F429" s="2" t="s">
        <v>760</v>
      </c>
      <c r="G429" s="3" t="s">
        <v>13</v>
      </c>
      <c r="H429" s="1">
        <v>43</v>
      </c>
      <c r="I429" s="1">
        <v>2</v>
      </c>
      <c r="J429"/>
      <c r="K429"/>
      <c r="L429"/>
    </row>
    <row r="430" spans="1:12" x14ac:dyDescent="0.3">
      <c r="A430" s="1">
        <v>5429</v>
      </c>
      <c r="B430" s="3" t="s">
        <v>761</v>
      </c>
      <c r="C430" s="3" t="s">
        <v>35</v>
      </c>
      <c r="D430" s="3" t="s">
        <v>61</v>
      </c>
      <c r="E430" s="1">
        <v>87520</v>
      </c>
      <c r="F430" s="2" t="s">
        <v>762</v>
      </c>
      <c r="G430" s="3" t="s">
        <v>24</v>
      </c>
      <c r="H430" s="1">
        <v>23</v>
      </c>
      <c r="I430" s="1">
        <v>2</v>
      </c>
      <c r="J430"/>
      <c r="K430"/>
      <c r="L430"/>
    </row>
    <row r="431" spans="1:12" x14ac:dyDescent="0.3">
      <c r="A431" s="1">
        <v>5430</v>
      </c>
      <c r="B431" s="3" t="s">
        <v>763</v>
      </c>
      <c r="C431" s="3" t="s">
        <v>63</v>
      </c>
      <c r="D431" s="3" t="s">
        <v>61</v>
      </c>
      <c r="E431" s="1">
        <v>142335</v>
      </c>
      <c r="F431" s="2" t="s">
        <v>764</v>
      </c>
      <c r="G431" s="3" t="s">
        <v>13</v>
      </c>
      <c r="H431" s="1">
        <v>54</v>
      </c>
      <c r="I431" s="1">
        <v>4</v>
      </c>
      <c r="J431"/>
      <c r="K431"/>
      <c r="L431"/>
    </row>
    <row r="432" spans="1:12" x14ac:dyDescent="0.3">
      <c r="A432" s="1">
        <v>5431</v>
      </c>
      <c r="B432" s="3" t="s">
        <v>765</v>
      </c>
      <c r="C432" s="3" t="s">
        <v>44</v>
      </c>
      <c r="D432" s="3" t="s">
        <v>49</v>
      </c>
      <c r="E432" s="1">
        <v>62753</v>
      </c>
      <c r="F432" s="2" t="s">
        <v>766</v>
      </c>
      <c r="G432" s="3" t="s">
        <v>13</v>
      </c>
      <c r="H432" s="1">
        <v>34</v>
      </c>
      <c r="I432" s="1">
        <v>5</v>
      </c>
      <c r="J432"/>
      <c r="K432"/>
      <c r="L432"/>
    </row>
    <row r="433" spans="1:12" x14ac:dyDescent="0.3">
      <c r="A433" s="1">
        <v>5432</v>
      </c>
      <c r="B433" s="3" t="s">
        <v>767</v>
      </c>
      <c r="C433" s="3" t="s">
        <v>70</v>
      </c>
      <c r="D433" s="3" t="s">
        <v>36</v>
      </c>
      <c r="E433" s="1">
        <v>92122</v>
      </c>
      <c r="F433" s="2" t="s">
        <v>768</v>
      </c>
      <c r="G433" s="3" t="s">
        <v>13</v>
      </c>
      <c r="H433" s="1">
        <v>39</v>
      </c>
      <c r="I433" s="1">
        <v>2</v>
      </c>
      <c r="J433"/>
      <c r="K433"/>
      <c r="L433"/>
    </row>
    <row r="434" spans="1:12" x14ac:dyDescent="0.3">
      <c r="A434" s="1">
        <v>5433</v>
      </c>
      <c r="B434" s="3" t="s">
        <v>1566</v>
      </c>
      <c r="C434" s="3" t="s">
        <v>39</v>
      </c>
      <c r="D434" s="3" t="s">
        <v>30</v>
      </c>
      <c r="E434" s="1">
        <v>87520</v>
      </c>
      <c r="F434" s="2" t="s">
        <v>769</v>
      </c>
      <c r="G434" s="3" t="s">
        <v>13</v>
      </c>
      <c r="H434" s="1">
        <v>38</v>
      </c>
      <c r="I434" s="1">
        <v>1</v>
      </c>
      <c r="J434"/>
      <c r="K434"/>
      <c r="L434"/>
    </row>
    <row r="435" spans="1:12" x14ac:dyDescent="0.3">
      <c r="A435" s="1">
        <v>5434</v>
      </c>
      <c r="B435" s="3" t="s">
        <v>722</v>
      </c>
      <c r="C435" s="3" t="s">
        <v>26</v>
      </c>
      <c r="D435" s="3" t="s">
        <v>30</v>
      </c>
      <c r="E435" s="1">
        <v>38035</v>
      </c>
      <c r="F435" s="2" t="s">
        <v>770</v>
      </c>
      <c r="G435" s="3" t="s">
        <v>1534</v>
      </c>
      <c r="H435" s="1">
        <v>43</v>
      </c>
      <c r="I435" s="1">
        <v>3</v>
      </c>
      <c r="J435"/>
      <c r="K435"/>
      <c r="L435"/>
    </row>
    <row r="436" spans="1:12" x14ac:dyDescent="0.3">
      <c r="A436" s="1">
        <v>5435</v>
      </c>
      <c r="B436" s="3" t="s">
        <v>771</v>
      </c>
      <c r="C436" s="3" t="s">
        <v>19</v>
      </c>
      <c r="D436" s="3" t="s">
        <v>36</v>
      </c>
      <c r="E436" s="1">
        <v>142647</v>
      </c>
      <c r="F436" s="2" t="s">
        <v>772</v>
      </c>
      <c r="G436" s="3" t="s">
        <v>24</v>
      </c>
      <c r="H436" s="1">
        <v>42</v>
      </c>
      <c r="I436" s="1">
        <v>3</v>
      </c>
      <c r="J436"/>
      <c r="K436"/>
      <c r="L436"/>
    </row>
    <row r="437" spans="1:12" x14ac:dyDescent="0.3">
      <c r="A437" s="1">
        <v>5436</v>
      </c>
      <c r="B437" s="3" t="s">
        <v>753</v>
      </c>
      <c r="C437" s="3" t="s">
        <v>39</v>
      </c>
      <c r="D437" s="3" t="s">
        <v>27</v>
      </c>
      <c r="E437" s="1">
        <v>54554</v>
      </c>
      <c r="F437" s="2" t="s">
        <v>525</v>
      </c>
      <c r="G437" s="3" t="s">
        <v>24</v>
      </c>
      <c r="H437" s="1">
        <v>32</v>
      </c>
      <c r="I437" s="1">
        <v>5</v>
      </c>
      <c r="J437"/>
      <c r="K437"/>
      <c r="L437"/>
    </row>
    <row r="438" spans="1:12" x14ac:dyDescent="0.3">
      <c r="A438" s="1">
        <v>5437</v>
      </c>
      <c r="B438" s="3" t="s">
        <v>773</v>
      </c>
      <c r="C438" s="3" t="s">
        <v>15</v>
      </c>
      <c r="D438" s="3" t="s">
        <v>36</v>
      </c>
      <c r="E438" s="1">
        <v>141884</v>
      </c>
      <c r="F438" s="2" t="s">
        <v>774</v>
      </c>
      <c r="G438" s="3" t="s">
        <v>13</v>
      </c>
      <c r="H438" s="1">
        <v>27</v>
      </c>
      <c r="I438" s="1">
        <v>3</v>
      </c>
      <c r="J438"/>
      <c r="K438"/>
      <c r="L438"/>
    </row>
    <row r="439" spans="1:12" x14ac:dyDescent="0.3">
      <c r="A439" s="1">
        <v>5438</v>
      </c>
      <c r="B439" s="3" t="s">
        <v>559</v>
      </c>
      <c r="C439" s="3" t="s">
        <v>26</v>
      </c>
      <c r="D439" s="3" t="s">
        <v>49</v>
      </c>
      <c r="E439" s="1">
        <v>126405</v>
      </c>
      <c r="F439" s="2" t="s">
        <v>775</v>
      </c>
      <c r="G439" s="3" t="s">
        <v>24</v>
      </c>
      <c r="H439" s="1">
        <v>34</v>
      </c>
      <c r="I439" s="1">
        <v>1</v>
      </c>
      <c r="J439"/>
      <c r="K439"/>
      <c r="L439"/>
    </row>
    <row r="440" spans="1:12" x14ac:dyDescent="0.3">
      <c r="A440" s="1">
        <v>5439</v>
      </c>
      <c r="B440" s="3" t="s">
        <v>575</v>
      </c>
      <c r="C440" s="3" t="s">
        <v>63</v>
      </c>
      <c r="D440" s="3" t="s">
        <v>61</v>
      </c>
      <c r="E440" s="1">
        <v>99188</v>
      </c>
      <c r="F440" s="2" t="s">
        <v>776</v>
      </c>
      <c r="G440" s="3" t="s">
        <v>24</v>
      </c>
      <c r="H440" s="1">
        <v>28</v>
      </c>
      <c r="I440" s="1">
        <v>4</v>
      </c>
      <c r="J440"/>
      <c r="K440"/>
      <c r="L440"/>
    </row>
    <row r="441" spans="1:12" x14ac:dyDescent="0.3">
      <c r="A441" s="1">
        <v>5440</v>
      </c>
      <c r="B441" s="3" t="s">
        <v>777</v>
      </c>
      <c r="C441" s="3" t="s">
        <v>44</v>
      </c>
      <c r="D441" s="3" t="s">
        <v>30</v>
      </c>
      <c r="E441" s="1">
        <v>50771</v>
      </c>
      <c r="F441" s="2" t="s">
        <v>778</v>
      </c>
      <c r="G441" s="3" t="s">
        <v>13</v>
      </c>
      <c r="H441" s="1">
        <v>24</v>
      </c>
      <c r="I441" s="1">
        <v>5</v>
      </c>
      <c r="J441"/>
      <c r="K441"/>
      <c r="L441"/>
    </row>
    <row r="442" spans="1:12" x14ac:dyDescent="0.3">
      <c r="A442" s="1">
        <v>5441</v>
      </c>
      <c r="B442" s="3" t="s">
        <v>779</v>
      </c>
      <c r="C442" s="3" t="s">
        <v>63</v>
      </c>
      <c r="D442" s="3" t="s">
        <v>61</v>
      </c>
      <c r="E442" s="1">
        <v>71826</v>
      </c>
      <c r="F442" s="2" t="s">
        <v>780</v>
      </c>
      <c r="G442" s="3" t="s">
        <v>24</v>
      </c>
      <c r="H442" s="1">
        <v>39</v>
      </c>
      <c r="I442" s="1">
        <v>3</v>
      </c>
      <c r="J442"/>
      <c r="K442"/>
      <c r="L442"/>
    </row>
    <row r="443" spans="1:12" x14ac:dyDescent="0.3">
      <c r="A443" s="1">
        <v>5442</v>
      </c>
      <c r="B443" s="3" t="s">
        <v>702</v>
      </c>
      <c r="C443" s="3" t="s">
        <v>19</v>
      </c>
      <c r="D443" s="3" t="s">
        <v>16</v>
      </c>
      <c r="E443" s="1">
        <v>139363</v>
      </c>
      <c r="F443" s="2" t="s">
        <v>781</v>
      </c>
      <c r="G443" s="3" t="s">
        <v>13</v>
      </c>
      <c r="H443" s="1">
        <v>41</v>
      </c>
      <c r="I443" s="1">
        <v>5</v>
      </c>
      <c r="J443"/>
      <c r="K443"/>
      <c r="L443"/>
    </row>
    <row r="444" spans="1:12" x14ac:dyDescent="0.3">
      <c r="A444" s="1">
        <v>5443</v>
      </c>
      <c r="B444" s="3" t="s">
        <v>782</v>
      </c>
      <c r="C444" s="3" t="s">
        <v>70</v>
      </c>
      <c r="D444" s="3" t="s">
        <v>11</v>
      </c>
      <c r="E444" s="1">
        <v>54184</v>
      </c>
      <c r="F444" s="2" t="s">
        <v>103</v>
      </c>
      <c r="G444" s="3" t="s">
        <v>13</v>
      </c>
      <c r="H444" s="1">
        <v>51</v>
      </c>
      <c r="I444" s="1">
        <v>1</v>
      </c>
      <c r="J444"/>
      <c r="K444"/>
      <c r="L444"/>
    </row>
    <row r="445" spans="1:12" x14ac:dyDescent="0.3">
      <c r="A445" s="1">
        <v>5444</v>
      </c>
      <c r="B445" s="3" t="s">
        <v>783</v>
      </c>
      <c r="C445" s="3" t="s">
        <v>15</v>
      </c>
      <c r="D445" s="3" t="s">
        <v>11</v>
      </c>
      <c r="E445" s="1">
        <v>76863</v>
      </c>
      <c r="F445" s="2" t="s">
        <v>784</v>
      </c>
      <c r="G445" s="3" t="s">
        <v>24</v>
      </c>
      <c r="H445" s="1">
        <v>48</v>
      </c>
      <c r="I445" s="1">
        <v>2</v>
      </c>
      <c r="J445"/>
      <c r="K445"/>
      <c r="L445"/>
    </row>
    <row r="446" spans="1:12" x14ac:dyDescent="0.3">
      <c r="A446" s="1">
        <v>5445</v>
      </c>
      <c r="B446" s="3" t="s">
        <v>785</v>
      </c>
      <c r="C446" s="3" t="s">
        <v>79</v>
      </c>
      <c r="D446" s="3" t="s">
        <v>16</v>
      </c>
      <c r="E446" s="1">
        <v>87520</v>
      </c>
      <c r="F446" s="2" t="s">
        <v>786</v>
      </c>
      <c r="G446" s="3" t="s">
        <v>13</v>
      </c>
      <c r="H446" s="1">
        <v>21</v>
      </c>
      <c r="I446" s="1">
        <v>2</v>
      </c>
      <c r="J446"/>
      <c r="K446"/>
      <c r="L446"/>
    </row>
    <row r="447" spans="1:12" x14ac:dyDescent="0.3">
      <c r="A447" s="1">
        <v>5446</v>
      </c>
      <c r="B447" s="3" t="s">
        <v>787</v>
      </c>
      <c r="C447" s="3" t="s">
        <v>10</v>
      </c>
      <c r="D447" s="3" t="s">
        <v>52</v>
      </c>
      <c r="E447" s="1">
        <v>110179</v>
      </c>
      <c r="F447" s="2" t="s">
        <v>788</v>
      </c>
      <c r="G447" s="3" t="s">
        <v>13</v>
      </c>
      <c r="H447" s="1">
        <v>42</v>
      </c>
      <c r="I447" s="1">
        <v>4</v>
      </c>
      <c r="J447"/>
      <c r="K447"/>
      <c r="L447"/>
    </row>
    <row r="448" spans="1:12" x14ac:dyDescent="0.3">
      <c r="A448" s="1">
        <v>5447</v>
      </c>
      <c r="B448" s="3" t="s">
        <v>297</v>
      </c>
      <c r="C448" s="3" t="s">
        <v>26</v>
      </c>
      <c r="D448" s="3" t="s">
        <v>20</v>
      </c>
      <c r="E448" s="1">
        <v>90651</v>
      </c>
      <c r="F448" s="2" t="s">
        <v>789</v>
      </c>
      <c r="G448" s="3" t="s">
        <v>24</v>
      </c>
      <c r="H448" s="1">
        <v>48</v>
      </c>
      <c r="I448" s="1">
        <v>1</v>
      </c>
      <c r="J448"/>
      <c r="K448"/>
      <c r="L448"/>
    </row>
    <row r="449" spans="1:12" x14ac:dyDescent="0.3">
      <c r="A449" s="1">
        <v>5448</v>
      </c>
      <c r="B449" s="3" t="s">
        <v>790</v>
      </c>
      <c r="C449" s="3" t="s">
        <v>39</v>
      </c>
      <c r="D449" s="3" t="s">
        <v>16</v>
      </c>
      <c r="E449" s="1">
        <v>129623</v>
      </c>
      <c r="F449" s="2" t="s">
        <v>791</v>
      </c>
      <c r="G449" s="3" t="s">
        <v>13</v>
      </c>
      <c r="H449" s="1">
        <v>22</v>
      </c>
      <c r="I449" s="1">
        <v>3</v>
      </c>
      <c r="J449"/>
      <c r="K449"/>
      <c r="L449"/>
    </row>
    <row r="450" spans="1:12" x14ac:dyDescent="0.3">
      <c r="A450" s="1">
        <v>5449</v>
      </c>
      <c r="B450" s="3" t="s">
        <v>1567</v>
      </c>
      <c r="C450" s="3" t="s">
        <v>26</v>
      </c>
      <c r="D450" s="3" t="s">
        <v>61</v>
      </c>
      <c r="E450" s="1">
        <v>134509</v>
      </c>
      <c r="F450" s="2" t="s">
        <v>792</v>
      </c>
      <c r="G450" s="3" t="s">
        <v>13</v>
      </c>
      <c r="H450" s="1">
        <v>24</v>
      </c>
      <c r="I450" s="1">
        <v>3</v>
      </c>
      <c r="J450"/>
      <c r="K450"/>
      <c r="L450"/>
    </row>
    <row r="451" spans="1:12" x14ac:dyDescent="0.3">
      <c r="A451" s="1">
        <v>5450</v>
      </c>
      <c r="B451" s="3" t="s">
        <v>1568</v>
      </c>
      <c r="C451" s="3" t="s">
        <v>39</v>
      </c>
      <c r="D451" s="3" t="s">
        <v>61</v>
      </c>
      <c r="E451" s="1">
        <v>87520</v>
      </c>
      <c r="F451" s="2" t="s">
        <v>793</v>
      </c>
      <c r="G451" s="3" t="s">
        <v>13</v>
      </c>
      <c r="H451" s="1">
        <v>41</v>
      </c>
      <c r="I451" s="1">
        <v>4</v>
      </c>
      <c r="J451"/>
      <c r="K451"/>
      <c r="L451"/>
    </row>
    <row r="452" spans="1:12" x14ac:dyDescent="0.3">
      <c r="A452" s="1">
        <v>5451</v>
      </c>
      <c r="B452" s="3" t="s">
        <v>794</v>
      </c>
      <c r="C452" s="3" t="s">
        <v>35</v>
      </c>
      <c r="D452" s="3" t="s">
        <v>16</v>
      </c>
      <c r="E452" s="1">
        <v>53024</v>
      </c>
      <c r="F452" s="2" t="s">
        <v>795</v>
      </c>
      <c r="G452" s="3" t="s">
        <v>24</v>
      </c>
      <c r="H452" s="1">
        <v>48</v>
      </c>
      <c r="I452" s="1">
        <v>2</v>
      </c>
      <c r="J452"/>
      <c r="K452"/>
      <c r="L452"/>
    </row>
    <row r="453" spans="1:12" x14ac:dyDescent="0.3">
      <c r="A453" s="1">
        <v>5452</v>
      </c>
      <c r="B453" s="3" t="s">
        <v>796</v>
      </c>
      <c r="C453" s="3" t="s">
        <v>44</v>
      </c>
      <c r="D453" s="3" t="s">
        <v>49</v>
      </c>
      <c r="E453" s="1">
        <v>139841</v>
      </c>
      <c r="F453" s="2" t="s">
        <v>797</v>
      </c>
      <c r="G453" s="3" t="s">
        <v>24</v>
      </c>
      <c r="H453" s="1">
        <v>28</v>
      </c>
      <c r="I453" s="1">
        <v>3</v>
      </c>
      <c r="J453"/>
      <c r="K453"/>
      <c r="L453"/>
    </row>
    <row r="454" spans="1:12" x14ac:dyDescent="0.3">
      <c r="A454" s="1">
        <v>5453</v>
      </c>
      <c r="B454" s="3" t="s">
        <v>798</v>
      </c>
      <c r="C454" s="3" t="s">
        <v>79</v>
      </c>
      <c r="D454" s="3" t="s">
        <v>27</v>
      </c>
      <c r="E454" s="1">
        <v>94330</v>
      </c>
      <c r="F454" s="2" t="s">
        <v>799</v>
      </c>
      <c r="G454" s="3" t="s">
        <v>1534</v>
      </c>
      <c r="H454" s="1">
        <v>35</v>
      </c>
      <c r="I454" s="1">
        <v>1</v>
      </c>
      <c r="J454"/>
      <c r="K454"/>
      <c r="L454"/>
    </row>
    <row r="455" spans="1:12" x14ac:dyDescent="0.3">
      <c r="A455" s="1">
        <v>5454</v>
      </c>
      <c r="B455" s="3" t="s">
        <v>1569</v>
      </c>
      <c r="C455" s="3" t="s">
        <v>10</v>
      </c>
      <c r="D455" s="3" t="s">
        <v>11</v>
      </c>
      <c r="E455" s="1">
        <v>125648</v>
      </c>
      <c r="F455" s="2" t="s">
        <v>800</v>
      </c>
      <c r="G455" s="3" t="s">
        <v>13</v>
      </c>
      <c r="H455" s="1">
        <v>45</v>
      </c>
      <c r="I455" s="1">
        <v>3</v>
      </c>
      <c r="J455"/>
      <c r="K455"/>
      <c r="L455"/>
    </row>
    <row r="456" spans="1:12" x14ac:dyDescent="0.3">
      <c r="A456" s="1">
        <v>5455</v>
      </c>
      <c r="B456" s="3" t="s">
        <v>801</v>
      </c>
      <c r="C456" s="3" t="s">
        <v>10</v>
      </c>
      <c r="D456" s="3" t="s">
        <v>27</v>
      </c>
      <c r="E456" s="1">
        <v>37020</v>
      </c>
      <c r="F456" s="2" t="s">
        <v>802</v>
      </c>
      <c r="G456" s="3" t="s">
        <v>24</v>
      </c>
      <c r="H456" s="1">
        <v>42</v>
      </c>
      <c r="I456" s="1">
        <v>4</v>
      </c>
      <c r="J456"/>
      <c r="K456"/>
      <c r="L456"/>
    </row>
    <row r="457" spans="1:12" x14ac:dyDescent="0.3">
      <c r="A457" s="1">
        <v>5456</v>
      </c>
      <c r="B457" s="3" t="s">
        <v>803</v>
      </c>
      <c r="C457" s="3" t="s">
        <v>63</v>
      </c>
      <c r="D457" s="3" t="s">
        <v>30</v>
      </c>
      <c r="E457" s="1">
        <v>94148</v>
      </c>
      <c r="F457" s="2" t="s">
        <v>804</v>
      </c>
      <c r="G457" s="3" t="s">
        <v>24</v>
      </c>
      <c r="H457" s="1">
        <v>39</v>
      </c>
      <c r="I457" s="1">
        <v>4</v>
      </c>
      <c r="J457"/>
      <c r="K457"/>
      <c r="L457"/>
    </row>
    <row r="458" spans="1:12" x14ac:dyDescent="0.3">
      <c r="A458" s="1">
        <v>5457</v>
      </c>
      <c r="B458" s="3" t="s">
        <v>664</v>
      </c>
      <c r="C458" s="3" t="s">
        <v>39</v>
      </c>
      <c r="D458" s="3" t="s">
        <v>61</v>
      </c>
      <c r="E458" s="1">
        <v>30820</v>
      </c>
      <c r="F458" s="2" t="s">
        <v>805</v>
      </c>
      <c r="G458" s="3" t="s">
        <v>24</v>
      </c>
      <c r="H458" s="1">
        <v>52</v>
      </c>
      <c r="I458" s="1">
        <v>5</v>
      </c>
      <c r="J458"/>
      <c r="K458"/>
      <c r="L458"/>
    </row>
    <row r="459" spans="1:12" x14ac:dyDescent="0.3">
      <c r="A459" s="1">
        <v>5458</v>
      </c>
      <c r="B459" s="3" t="s">
        <v>1570</v>
      </c>
      <c r="C459" s="3" t="s">
        <v>10</v>
      </c>
      <c r="D459" s="3" t="s">
        <v>61</v>
      </c>
      <c r="E459" s="1">
        <v>33700</v>
      </c>
      <c r="F459" s="2" t="s">
        <v>806</v>
      </c>
      <c r="G459" s="3" t="s">
        <v>13</v>
      </c>
      <c r="H459" s="1">
        <v>28</v>
      </c>
      <c r="I459" s="1">
        <v>4</v>
      </c>
      <c r="J459"/>
      <c r="K459"/>
      <c r="L459"/>
    </row>
    <row r="460" spans="1:12" x14ac:dyDescent="0.3">
      <c r="A460" s="1">
        <v>5459</v>
      </c>
      <c r="B460" s="3" t="s">
        <v>807</v>
      </c>
      <c r="C460" s="3" t="s">
        <v>35</v>
      </c>
      <c r="D460" s="3" t="s">
        <v>49</v>
      </c>
      <c r="E460" s="1">
        <v>96449</v>
      </c>
      <c r="F460" s="2" t="s">
        <v>808</v>
      </c>
      <c r="G460" s="3" t="s">
        <v>24</v>
      </c>
      <c r="H460" s="1">
        <v>33</v>
      </c>
      <c r="I460" s="1">
        <v>3</v>
      </c>
      <c r="J460"/>
      <c r="K460"/>
      <c r="L460"/>
    </row>
    <row r="461" spans="1:12" x14ac:dyDescent="0.3">
      <c r="A461" s="1">
        <v>5460</v>
      </c>
      <c r="B461" s="3" t="s">
        <v>809</v>
      </c>
      <c r="C461" s="3" t="s">
        <v>63</v>
      </c>
      <c r="D461" s="3" t="s">
        <v>49</v>
      </c>
      <c r="E461" s="1">
        <v>88489</v>
      </c>
      <c r="F461" s="2" t="s">
        <v>810</v>
      </c>
      <c r="G461" s="3" t="s">
        <v>24</v>
      </c>
      <c r="H461" s="1">
        <v>44</v>
      </c>
      <c r="I461" s="1">
        <v>4</v>
      </c>
      <c r="J461"/>
      <c r="K461"/>
      <c r="L461"/>
    </row>
    <row r="462" spans="1:12" x14ac:dyDescent="0.3">
      <c r="A462" s="1">
        <v>5461</v>
      </c>
      <c r="B462" s="3" t="s">
        <v>811</v>
      </c>
      <c r="C462" s="3" t="s">
        <v>63</v>
      </c>
      <c r="D462" s="3" t="s">
        <v>49</v>
      </c>
      <c r="E462" s="1">
        <v>87520</v>
      </c>
      <c r="F462" s="2" t="s">
        <v>812</v>
      </c>
      <c r="G462" s="3" t="s">
        <v>24</v>
      </c>
      <c r="H462" s="1">
        <v>49</v>
      </c>
      <c r="I462" s="1">
        <v>2</v>
      </c>
      <c r="J462"/>
      <c r="K462"/>
      <c r="L462"/>
    </row>
    <row r="463" spans="1:12" x14ac:dyDescent="0.3">
      <c r="A463" s="1">
        <v>5462</v>
      </c>
      <c r="B463" s="3" t="s">
        <v>813</v>
      </c>
      <c r="C463" s="3" t="s">
        <v>70</v>
      </c>
      <c r="D463" s="3" t="s">
        <v>16</v>
      </c>
      <c r="E463" s="1">
        <v>121101</v>
      </c>
      <c r="F463" s="2" t="s">
        <v>814</v>
      </c>
      <c r="G463" s="3" t="s">
        <v>24</v>
      </c>
      <c r="H463" s="1">
        <v>40</v>
      </c>
      <c r="I463" s="1">
        <v>5</v>
      </c>
      <c r="J463"/>
      <c r="K463"/>
      <c r="L463"/>
    </row>
    <row r="464" spans="1:12" x14ac:dyDescent="0.3">
      <c r="A464" s="1">
        <v>5463</v>
      </c>
      <c r="B464" s="3" t="s">
        <v>304</v>
      </c>
      <c r="C464" s="3" t="s">
        <v>10</v>
      </c>
      <c r="D464" s="3" t="s">
        <v>61</v>
      </c>
      <c r="E464" s="1">
        <v>102378</v>
      </c>
      <c r="F464" s="2" t="s">
        <v>815</v>
      </c>
      <c r="G464" s="3" t="s">
        <v>24</v>
      </c>
      <c r="H464" s="1">
        <v>53</v>
      </c>
      <c r="I464" s="1">
        <v>4</v>
      </c>
      <c r="J464"/>
      <c r="K464"/>
      <c r="L464"/>
    </row>
    <row r="465" spans="1:12" x14ac:dyDescent="0.3">
      <c r="A465" s="1">
        <v>5464</v>
      </c>
      <c r="B465" s="3" t="s">
        <v>816</v>
      </c>
      <c r="C465" s="3" t="s">
        <v>19</v>
      </c>
      <c r="D465" s="3" t="s">
        <v>20</v>
      </c>
      <c r="E465" s="1">
        <v>92046</v>
      </c>
      <c r="F465" s="2" t="s">
        <v>817</v>
      </c>
      <c r="G465" s="3" t="s">
        <v>13</v>
      </c>
      <c r="H465" s="1">
        <v>53</v>
      </c>
      <c r="I465" s="1">
        <v>4</v>
      </c>
      <c r="J465"/>
      <c r="K465"/>
      <c r="L465"/>
    </row>
    <row r="466" spans="1:12" x14ac:dyDescent="0.3">
      <c r="A466" s="1">
        <v>5465</v>
      </c>
      <c r="B466" s="3" t="s">
        <v>818</v>
      </c>
      <c r="C466" s="3" t="s">
        <v>35</v>
      </c>
      <c r="D466" s="3" t="s">
        <v>36</v>
      </c>
      <c r="E466" s="1">
        <v>103869</v>
      </c>
      <c r="F466" s="2" t="s">
        <v>819</v>
      </c>
      <c r="G466" s="3" t="s">
        <v>24</v>
      </c>
      <c r="H466" s="1">
        <v>26</v>
      </c>
      <c r="I466" s="1">
        <v>2</v>
      </c>
      <c r="J466"/>
      <c r="K466"/>
      <c r="L466"/>
    </row>
    <row r="467" spans="1:12" x14ac:dyDescent="0.3">
      <c r="A467" s="1">
        <v>5466</v>
      </c>
      <c r="B467" s="3" t="s">
        <v>820</v>
      </c>
      <c r="C467" s="3" t="s">
        <v>70</v>
      </c>
      <c r="D467" s="3" t="s">
        <v>61</v>
      </c>
      <c r="E467" s="1">
        <v>88532</v>
      </c>
      <c r="F467" s="2" t="s">
        <v>821</v>
      </c>
      <c r="G467" s="3" t="s">
        <v>24</v>
      </c>
      <c r="H467" s="1">
        <v>51</v>
      </c>
      <c r="I467" s="1">
        <v>4</v>
      </c>
      <c r="J467"/>
      <c r="K467"/>
      <c r="L467"/>
    </row>
    <row r="468" spans="1:12" x14ac:dyDescent="0.3">
      <c r="A468" s="1">
        <v>5467</v>
      </c>
      <c r="B468" s="3" t="s">
        <v>822</v>
      </c>
      <c r="C468" s="3" t="s">
        <v>79</v>
      </c>
      <c r="D468" s="3" t="s">
        <v>36</v>
      </c>
      <c r="E468" s="1">
        <v>85468</v>
      </c>
      <c r="F468" s="2" t="s">
        <v>823</v>
      </c>
      <c r="G468" s="3" t="s">
        <v>13</v>
      </c>
      <c r="H468" s="1">
        <v>38</v>
      </c>
      <c r="I468" s="1">
        <v>2</v>
      </c>
      <c r="J468"/>
      <c r="K468"/>
      <c r="L468"/>
    </row>
    <row r="469" spans="1:12" x14ac:dyDescent="0.3">
      <c r="A469" s="1">
        <v>5468</v>
      </c>
      <c r="B469" s="3" t="s">
        <v>824</v>
      </c>
      <c r="C469" s="3" t="s">
        <v>15</v>
      </c>
      <c r="D469" s="3" t="s">
        <v>30</v>
      </c>
      <c r="E469" s="1">
        <v>138571</v>
      </c>
      <c r="F469" s="2" t="s">
        <v>143</v>
      </c>
      <c r="G469" s="3" t="s">
        <v>13</v>
      </c>
      <c r="H469" s="1">
        <v>49</v>
      </c>
      <c r="I469" s="1">
        <v>5</v>
      </c>
      <c r="J469"/>
      <c r="K469"/>
      <c r="L469"/>
    </row>
    <row r="470" spans="1:12" x14ac:dyDescent="0.3">
      <c r="A470" s="1">
        <v>5469</v>
      </c>
      <c r="B470" s="3" t="s">
        <v>1571</v>
      </c>
      <c r="C470" s="3" t="s">
        <v>15</v>
      </c>
      <c r="D470" s="3" t="s">
        <v>49</v>
      </c>
      <c r="E470" s="1">
        <v>133174</v>
      </c>
      <c r="F470" s="2" t="s">
        <v>825</v>
      </c>
      <c r="G470" s="3" t="s">
        <v>13</v>
      </c>
      <c r="H470" s="1">
        <v>30</v>
      </c>
      <c r="I470" s="1">
        <v>4</v>
      </c>
      <c r="J470"/>
      <c r="K470"/>
      <c r="L470"/>
    </row>
    <row r="471" spans="1:12" x14ac:dyDescent="0.3">
      <c r="A471" s="1">
        <v>5470</v>
      </c>
      <c r="B471" s="3" t="s">
        <v>1572</v>
      </c>
      <c r="C471" s="3" t="s">
        <v>44</v>
      </c>
      <c r="D471" s="3" t="s">
        <v>36</v>
      </c>
      <c r="E471" s="1">
        <v>48658</v>
      </c>
      <c r="F471" s="2" t="s">
        <v>725</v>
      </c>
      <c r="G471" s="3" t="s">
        <v>13</v>
      </c>
      <c r="H471" s="1">
        <v>32</v>
      </c>
      <c r="I471" s="1">
        <v>5</v>
      </c>
      <c r="J471"/>
      <c r="K471"/>
      <c r="L471"/>
    </row>
    <row r="472" spans="1:12" x14ac:dyDescent="0.3">
      <c r="A472" s="1">
        <v>5471</v>
      </c>
      <c r="B472" s="3" t="s">
        <v>826</v>
      </c>
      <c r="C472" s="3" t="s">
        <v>70</v>
      </c>
      <c r="D472" s="3" t="s">
        <v>36</v>
      </c>
      <c r="E472" s="1">
        <v>47492</v>
      </c>
      <c r="F472" s="2" t="s">
        <v>827</v>
      </c>
      <c r="G472" s="3" t="s">
        <v>13</v>
      </c>
      <c r="H472" s="1">
        <v>22</v>
      </c>
      <c r="I472" s="1">
        <v>4</v>
      </c>
      <c r="J472"/>
      <c r="K472"/>
      <c r="L472"/>
    </row>
    <row r="473" spans="1:12" x14ac:dyDescent="0.3">
      <c r="A473" s="1">
        <v>5472</v>
      </c>
      <c r="B473" s="3" t="s">
        <v>681</v>
      </c>
      <c r="C473" s="3" t="s">
        <v>19</v>
      </c>
      <c r="D473" s="3" t="s">
        <v>36</v>
      </c>
      <c r="E473" s="1">
        <v>46840</v>
      </c>
      <c r="F473" s="2" t="s">
        <v>828</v>
      </c>
      <c r="G473" s="3" t="s">
        <v>24</v>
      </c>
      <c r="H473" s="1">
        <v>54</v>
      </c>
      <c r="I473" s="1">
        <v>3</v>
      </c>
      <c r="J473"/>
      <c r="K473"/>
      <c r="L473"/>
    </row>
    <row r="474" spans="1:12" x14ac:dyDescent="0.3">
      <c r="A474" s="1">
        <v>5473</v>
      </c>
      <c r="B474" s="3" t="s">
        <v>829</v>
      </c>
      <c r="C474" s="3" t="s">
        <v>79</v>
      </c>
      <c r="D474" s="3" t="s">
        <v>49</v>
      </c>
      <c r="E474" s="1">
        <v>86371</v>
      </c>
      <c r="F474" s="2" t="s">
        <v>830</v>
      </c>
      <c r="G474" s="3" t="s">
        <v>24</v>
      </c>
      <c r="H474" s="1">
        <v>55</v>
      </c>
      <c r="I474" s="1">
        <v>1</v>
      </c>
      <c r="J474"/>
      <c r="K474"/>
      <c r="L474"/>
    </row>
    <row r="475" spans="1:12" x14ac:dyDescent="0.3">
      <c r="A475" s="1">
        <v>5474</v>
      </c>
      <c r="B475" s="3" t="s">
        <v>831</v>
      </c>
      <c r="C475" s="3" t="s">
        <v>39</v>
      </c>
      <c r="D475" s="3" t="s">
        <v>27</v>
      </c>
      <c r="E475" s="1">
        <v>71992</v>
      </c>
      <c r="F475" s="2" t="s">
        <v>832</v>
      </c>
      <c r="G475" s="3" t="s">
        <v>24</v>
      </c>
      <c r="H475" s="1">
        <v>34</v>
      </c>
      <c r="I475" s="1">
        <v>3</v>
      </c>
      <c r="J475"/>
      <c r="K475"/>
      <c r="L475"/>
    </row>
    <row r="476" spans="1:12" x14ac:dyDescent="0.3">
      <c r="A476" s="1">
        <v>5475</v>
      </c>
      <c r="B476" s="3" t="s">
        <v>833</v>
      </c>
      <c r="C476" s="3" t="s">
        <v>10</v>
      </c>
      <c r="D476" s="3" t="s">
        <v>11</v>
      </c>
      <c r="E476" s="1">
        <v>112876</v>
      </c>
      <c r="F476" s="2" t="s">
        <v>834</v>
      </c>
      <c r="G476" s="3" t="s">
        <v>13</v>
      </c>
      <c r="H476" s="1">
        <v>52</v>
      </c>
      <c r="I476" s="1">
        <v>2</v>
      </c>
      <c r="J476"/>
      <c r="K476"/>
      <c r="L476"/>
    </row>
    <row r="477" spans="1:12" x14ac:dyDescent="0.3">
      <c r="A477" s="1">
        <v>5476</v>
      </c>
      <c r="B477" s="3" t="s">
        <v>835</v>
      </c>
      <c r="C477" s="3" t="s">
        <v>35</v>
      </c>
      <c r="D477" s="3" t="s">
        <v>11</v>
      </c>
      <c r="E477" s="1">
        <v>116203</v>
      </c>
      <c r="F477" s="2" t="s">
        <v>836</v>
      </c>
      <c r="G477" s="3" t="s">
        <v>13</v>
      </c>
      <c r="H477" s="1">
        <v>39</v>
      </c>
      <c r="I477" s="1">
        <v>2</v>
      </c>
      <c r="J477"/>
      <c r="K477"/>
      <c r="L477"/>
    </row>
    <row r="478" spans="1:12" x14ac:dyDescent="0.3">
      <c r="A478" s="1">
        <v>5477</v>
      </c>
      <c r="B478" s="3" t="s">
        <v>837</v>
      </c>
      <c r="C478" s="3" t="s">
        <v>70</v>
      </c>
      <c r="D478" s="3" t="s">
        <v>16</v>
      </c>
      <c r="E478" s="1">
        <v>127386</v>
      </c>
      <c r="F478" s="2" t="s">
        <v>838</v>
      </c>
      <c r="G478" s="3" t="s">
        <v>24</v>
      </c>
      <c r="H478" s="1">
        <v>23</v>
      </c>
      <c r="I478" s="1">
        <v>3</v>
      </c>
      <c r="J478"/>
      <c r="K478"/>
      <c r="L478"/>
    </row>
    <row r="479" spans="1:12" x14ac:dyDescent="0.3">
      <c r="A479" s="1">
        <v>5478</v>
      </c>
      <c r="B479" s="3" t="s">
        <v>401</v>
      </c>
      <c r="C479" s="3" t="s">
        <v>10</v>
      </c>
      <c r="D479" s="3" t="s">
        <v>36</v>
      </c>
      <c r="E479" s="1">
        <v>51788</v>
      </c>
      <c r="F479" s="2" t="s">
        <v>839</v>
      </c>
      <c r="G479" s="3" t="s">
        <v>24</v>
      </c>
      <c r="H479" s="1">
        <v>54</v>
      </c>
      <c r="I479" s="1">
        <v>4</v>
      </c>
      <c r="J479"/>
      <c r="K479"/>
      <c r="L479"/>
    </row>
    <row r="480" spans="1:12" x14ac:dyDescent="0.3">
      <c r="A480" s="1">
        <v>5479</v>
      </c>
      <c r="B480" s="3" t="s">
        <v>840</v>
      </c>
      <c r="C480" s="3" t="s">
        <v>79</v>
      </c>
      <c r="D480" s="3" t="s">
        <v>27</v>
      </c>
      <c r="E480" s="1">
        <v>87520</v>
      </c>
      <c r="F480" s="2" t="s">
        <v>693</v>
      </c>
      <c r="G480" s="3" t="s">
        <v>13</v>
      </c>
      <c r="H480" s="1">
        <v>40</v>
      </c>
      <c r="I480" s="1">
        <v>5</v>
      </c>
      <c r="J480"/>
      <c r="K480"/>
      <c r="L480"/>
    </row>
    <row r="481" spans="1:12" x14ac:dyDescent="0.3">
      <c r="A481" s="1">
        <v>5480</v>
      </c>
      <c r="B481" s="3" t="s">
        <v>841</v>
      </c>
      <c r="C481" s="3" t="s">
        <v>44</v>
      </c>
      <c r="D481" s="3" t="s">
        <v>16</v>
      </c>
      <c r="E481" s="1">
        <v>85627</v>
      </c>
      <c r="F481" s="2" t="s">
        <v>842</v>
      </c>
      <c r="G481" s="3" t="s">
        <v>13</v>
      </c>
      <c r="H481" s="1">
        <v>23</v>
      </c>
      <c r="I481" s="1">
        <v>2</v>
      </c>
      <c r="J481"/>
      <c r="K481"/>
      <c r="L481"/>
    </row>
    <row r="482" spans="1:12" x14ac:dyDescent="0.3">
      <c r="A482" s="1">
        <v>5481</v>
      </c>
      <c r="B482" s="3" t="s">
        <v>843</v>
      </c>
      <c r="C482" s="3" t="s">
        <v>70</v>
      </c>
      <c r="D482" s="3" t="s">
        <v>61</v>
      </c>
      <c r="E482" s="1">
        <v>44469</v>
      </c>
      <c r="F482" s="2" t="s">
        <v>844</v>
      </c>
      <c r="G482" s="3" t="s">
        <v>13</v>
      </c>
      <c r="H482" s="1">
        <v>52</v>
      </c>
      <c r="I482" s="1">
        <v>3</v>
      </c>
      <c r="J482"/>
      <c r="K482"/>
      <c r="L482"/>
    </row>
    <row r="483" spans="1:12" x14ac:dyDescent="0.3">
      <c r="A483" s="1">
        <v>5482</v>
      </c>
      <c r="B483" s="3" t="s">
        <v>845</v>
      </c>
      <c r="C483" s="3" t="s">
        <v>39</v>
      </c>
      <c r="D483" s="3" t="s">
        <v>11</v>
      </c>
      <c r="E483" s="1">
        <v>89842</v>
      </c>
      <c r="F483" s="2" t="s">
        <v>162</v>
      </c>
      <c r="G483" s="3" t="s">
        <v>13</v>
      </c>
      <c r="H483" s="1">
        <v>55</v>
      </c>
      <c r="I483" s="1">
        <v>3</v>
      </c>
      <c r="J483"/>
      <c r="K483"/>
      <c r="L483"/>
    </row>
    <row r="484" spans="1:12" x14ac:dyDescent="0.3">
      <c r="A484" s="1">
        <v>5483</v>
      </c>
      <c r="B484" s="3" t="s">
        <v>511</v>
      </c>
      <c r="C484" s="3" t="s">
        <v>26</v>
      </c>
      <c r="D484" s="3" t="s">
        <v>87</v>
      </c>
      <c r="E484" s="1">
        <v>73105</v>
      </c>
      <c r="F484" s="2" t="s">
        <v>442</v>
      </c>
      <c r="G484" s="3" t="s">
        <v>13</v>
      </c>
      <c r="H484" s="1">
        <v>46</v>
      </c>
      <c r="I484" s="1">
        <v>5</v>
      </c>
      <c r="J484"/>
      <c r="K484"/>
      <c r="L484"/>
    </row>
    <row r="485" spans="1:12" x14ac:dyDescent="0.3">
      <c r="A485" s="1">
        <v>5484</v>
      </c>
      <c r="B485" s="3" t="s">
        <v>343</v>
      </c>
      <c r="C485" s="3" t="s">
        <v>15</v>
      </c>
      <c r="D485" s="3" t="s">
        <v>61</v>
      </c>
      <c r="E485" s="1">
        <v>100861</v>
      </c>
      <c r="F485" s="2" t="s">
        <v>846</v>
      </c>
      <c r="G485" s="3" t="s">
        <v>13</v>
      </c>
      <c r="H485" s="1">
        <v>35</v>
      </c>
      <c r="I485" s="1">
        <v>3</v>
      </c>
      <c r="J485"/>
      <c r="K485"/>
      <c r="L485"/>
    </row>
    <row r="486" spans="1:12" x14ac:dyDescent="0.3">
      <c r="A486" s="1">
        <v>5485</v>
      </c>
      <c r="B486" s="3" t="s">
        <v>847</v>
      </c>
      <c r="C486" s="3" t="s">
        <v>44</v>
      </c>
      <c r="D486" s="3" t="s">
        <v>49</v>
      </c>
      <c r="E486" s="1">
        <v>44538</v>
      </c>
      <c r="F486" s="2" t="s">
        <v>848</v>
      </c>
      <c r="G486" s="3" t="s">
        <v>24</v>
      </c>
      <c r="H486" s="1">
        <v>55</v>
      </c>
      <c r="I486" s="1">
        <v>2</v>
      </c>
      <c r="J486"/>
      <c r="K486"/>
      <c r="L486"/>
    </row>
    <row r="487" spans="1:12" x14ac:dyDescent="0.3">
      <c r="A487" s="1">
        <v>5486</v>
      </c>
      <c r="B487" s="3" t="s">
        <v>779</v>
      </c>
      <c r="C487" s="3" t="s">
        <v>70</v>
      </c>
      <c r="D487" s="3" t="s">
        <v>27</v>
      </c>
      <c r="E487" s="1">
        <v>54644</v>
      </c>
      <c r="F487" s="2" t="s">
        <v>849</v>
      </c>
      <c r="G487" s="3" t="s">
        <v>13</v>
      </c>
      <c r="H487" s="1">
        <v>39</v>
      </c>
      <c r="I487" s="1">
        <v>4</v>
      </c>
      <c r="J487"/>
      <c r="K487"/>
      <c r="L487"/>
    </row>
    <row r="488" spans="1:12" x14ac:dyDescent="0.3">
      <c r="A488" s="1">
        <v>5487</v>
      </c>
      <c r="B488" s="3" t="s">
        <v>381</v>
      </c>
      <c r="C488" s="3" t="s">
        <v>19</v>
      </c>
      <c r="D488" s="3" t="s">
        <v>11</v>
      </c>
      <c r="E488" s="1">
        <v>89305</v>
      </c>
      <c r="F488" s="2" t="s">
        <v>850</v>
      </c>
      <c r="G488" s="3" t="s">
        <v>24</v>
      </c>
      <c r="H488" s="1">
        <v>35</v>
      </c>
      <c r="I488" s="1">
        <v>4</v>
      </c>
      <c r="J488"/>
      <c r="K488"/>
      <c r="L488"/>
    </row>
    <row r="489" spans="1:12" x14ac:dyDescent="0.3">
      <c r="A489" s="1">
        <v>5488</v>
      </c>
      <c r="B489" s="3" t="s">
        <v>767</v>
      </c>
      <c r="C489" s="3" t="s">
        <v>10</v>
      </c>
      <c r="D489" s="3" t="s">
        <v>11</v>
      </c>
      <c r="E489" s="1">
        <v>58306</v>
      </c>
      <c r="F489" s="2" t="s">
        <v>851</v>
      </c>
      <c r="G489" s="3" t="s">
        <v>13</v>
      </c>
      <c r="H489" s="1">
        <v>23</v>
      </c>
      <c r="I489" s="1">
        <v>1</v>
      </c>
      <c r="J489"/>
      <c r="K489"/>
      <c r="L489"/>
    </row>
    <row r="490" spans="1:12" x14ac:dyDescent="0.3">
      <c r="A490" s="1">
        <v>5489</v>
      </c>
      <c r="B490" s="3" t="s">
        <v>614</v>
      </c>
      <c r="C490" s="3" t="s">
        <v>35</v>
      </c>
      <c r="D490" s="3" t="s">
        <v>20</v>
      </c>
      <c r="E490" s="1">
        <v>135187</v>
      </c>
      <c r="F490" s="2" t="s">
        <v>852</v>
      </c>
      <c r="G490" s="3" t="s">
        <v>24</v>
      </c>
      <c r="H490" s="1">
        <v>48</v>
      </c>
      <c r="I490" s="1">
        <v>4</v>
      </c>
      <c r="J490"/>
      <c r="K490"/>
      <c r="L490"/>
    </row>
    <row r="491" spans="1:12" x14ac:dyDescent="0.3">
      <c r="A491" s="1">
        <v>5490</v>
      </c>
      <c r="B491" s="3" t="s">
        <v>853</v>
      </c>
      <c r="C491" s="3" t="s">
        <v>35</v>
      </c>
      <c r="D491" s="3" t="s">
        <v>27</v>
      </c>
      <c r="E491" s="1">
        <v>57711</v>
      </c>
      <c r="F491" s="2" t="s">
        <v>854</v>
      </c>
      <c r="G491" s="3" t="s">
        <v>13</v>
      </c>
      <c r="H491" s="1">
        <v>41</v>
      </c>
      <c r="I491" s="1">
        <v>2</v>
      </c>
      <c r="J491"/>
      <c r="K491"/>
      <c r="L491"/>
    </row>
    <row r="492" spans="1:12" x14ac:dyDescent="0.3">
      <c r="A492" s="1">
        <v>5491</v>
      </c>
      <c r="B492" s="3" t="s">
        <v>855</v>
      </c>
      <c r="C492" s="3" t="s">
        <v>15</v>
      </c>
      <c r="D492" s="3" t="s">
        <v>52</v>
      </c>
      <c r="E492" s="1">
        <v>70791</v>
      </c>
      <c r="F492" s="2" t="s">
        <v>856</v>
      </c>
      <c r="G492" s="3" t="s">
        <v>13</v>
      </c>
      <c r="H492" s="1">
        <v>27</v>
      </c>
      <c r="I492" s="1">
        <v>2</v>
      </c>
      <c r="J492"/>
      <c r="K492"/>
      <c r="L492"/>
    </row>
    <row r="493" spans="1:12" x14ac:dyDescent="0.3">
      <c r="A493" s="1">
        <v>5492</v>
      </c>
      <c r="B493" s="3" t="s">
        <v>857</v>
      </c>
      <c r="C493" s="3" t="s">
        <v>15</v>
      </c>
      <c r="D493" s="3" t="s">
        <v>16</v>
      </c>
      <c r="E493" s="1">
        <v>141608</v>
      </c>
      <c r="F493" s="2" t="s">
        <v>858</v>
      </c>
      <c r="G493" s="3" t="s">
        <v>24</v>
      </c>
      <c r="H493" s="1">
        <v>55</v>
      </c>
      <c r="I493" s="1">
        <v>5</v>
      </c>
      <c r="J493"/>
      <c r="K493"/>
      <c r="L493"/>
    </row>
    <row r="494" spans="1:12" x14ac:dyDescent="0.3">
      <c r="A494" s="1">
        <v>5493</v>
      </c>
      <c r="B494" s="3" t="s">
        <v>552</v>
      </c>
      <c r="C494" s="3" t="s">
        <v>70</v>
      </c>
      <c r="D494" s="3" t="s">
        <v>61</v>
      </c>
      <c r="E494" s="1">
        <v>124746</v>
      </c>
      <c r="F494" s="2" t="s">
        <v>859</v>
      </c>
      <c r="G494" s="3" t="s">
        <v>13</v>
      </c>
      <c r="H494" s="1">
        <v>44</v>
      </c>
      <c r="I494" s="1">
        <v>4</v>
      </c>
      <c r="J494"/>
      <c r="K494"/>
      <c r="L494"/>
    </row>
    <row r="495" spans="1:12" x14ac:dyDescent="0.3">
      <c r="A495" s="1">
        <v>5494</v>
      </c>
      <c r="B495" s="3" t="s">
        <v>860</v>
      </c>
      <c r="C495" s="3" t="s">
        <v>19</v>
      </c>
      <c r="D495" s="3" t="s">
        <v>61</v>
      </c>
      <c r="E495" s="1">
        <v>121661</v>
      </c>
      <c r="F495" s="2" t="s">
        <v>861</v>
      </c>
      <c r="G495" s="3" t="s">
        <v>13</v>
      </c>
      <c r="H495" s="1">
        <v>37</v>
      </c>
      <c r="I495" s="1">
        <v>3</v>
      </c>
      <c r="J495"/>
      <c r="K495"/>
      <c r="L495"/>
    </row>
    <row r="496" spans="1:12" x14ac:dyDescent="0.3">
      <c r="A496" s="1">
        <v>5495</v>
      </c>
      <c r="B496" s="3" t="s">
        <v>862</v>
      </c>
      <c r="C496" s="3" t="s">
        <v>19</v>
      </c>
      <c r="D496" s="3" t="s">
        <v>27</v>
      </c>
      <c r="E496" s="1">
        <v>109146</v>
      </c>
      <c r="F496" s="2" t="s">
        <v>505</v>
      </c>
      <c r="G496" s="3" t="s">
        <v>24</v>
      </c>
      <c r="H496" s="1">
        <v>53</v>
      </c>
      <c r="I496" s="1">
        <v>2</v>
      </c>
      <c r="J496"/>
      <c r="K496"/>
      <c r="L496"/>
    </row>
    <row r="497" spans="1:12" x14ac:dyDescent="0.3">
      <c r="A497" s="1">
        <v>5496</v>
      </c>
      <c r="B497" s="3" t="s">
        <v>863</v>
      </c>
      <c r="C497" s="3" t="s">
        <v>39</v>
      </c>
      <c r="D497" s="3" t="s">
        <v>30</v>
      </c>
      <c r="E497" s="1">
        <v>104943</v>
      </c>
      <c r="F497" s="2" t="s">
        <v>596</v>
      </c>
      <c r="G497" s="3" t="s">
        <v>24</v>
      </c>
      <c r="H497" s="1">
        <v>29</v>
      </c>
      <c r="I497" s="1">
        <v>3</v>
      </c>
      <c r="J497"/>
      <c r="K497"/>
      <c r="L497"/>
    </row>
    <row r="498" spans="1:12" x14ac:dyDescent="0.3">
      <c r="A498" s="1">
        <v>5497</v>
      </c>
      <c r="B498" s="3" t="s">
        <v>864</v>
      </c>
      <c r="C498" s="3" t="s">
        <v>44</v>
      </c>
      <c r="D498" s="3" t="s">
        <v>61</v>
      </c>
      <c r="E498" s="1">
        <v>149848</v>
      </c>
      <c r="F498" s="2" t="s">
        <v>865</v>
      </c>
      <c r="G498" s="3" t="s">
        <v>1534</v>
      </c>
      <c r="H498" s="1">
        <v>32</v>
      </c>
      <c r="I498" s="1">
        <v>4</v>
      </c>
      <c r="J498"/>
      <c r="K498"/>
      <c r="L498"/>
    </row>
    <row r="499" spans="1:12" x14ac:dyDescent="0.3">
      <c r="A499" s="1">
        <v>5498</v>
      </c>
      <c r="B499" s="3" t="s">
        <v>586</v>
      </c>
      <c r="C499" s="3" t="s">
        <v>35</v>
      </c>
      <c r="D499" s="3" t="s">
        <v>16</v>
      </c>
      <c r="E499" s="1">
        <v>87520</v>
      </c>
      <c r="F499" s="2" t="s">
        <v>866</v>
      </c>
      <c r="G499" s="3" t="s">
        <v>24</v>
      </c>
      <c r="H499" s="1">
        <v>48</v>
      </c>
      <c r="I499" s="1">
        <v>1</v>
      </c>
      <c r="J499"/>
      <c r="K499"/>
      <c r="L499"/>
    </row>
    <row r="500" spans="1:12" x14ac:dyDescent="0.3">
      <c r="A500" s="1">
        <v>5499</v>
      </c>
      <c r="B500" s="3" t="s">
        <v>867</v>
      </c>
      <c r="C500" s="3" t="s">
        <v>19</v>
      </c>
      <c r="D500" s="3" t="s">
        <v>61</v>
      </c>
      <c r="E500" s="1">
        <v>130833</v>
      </c>
      <c r="F500" s="2" t="s">
        <v>868</v>
      </c>
      <c r="G500" s="3" t="s">
        <v>13</v>
      </c>
      <c r="H500" s="1">
        <v>43</v>
      </c>
      <c r="I500" s="1">
        <v>3</v>
      </c>
      <c r="J500"/>
      <c r="K500"/>
      <c r="L500"/>
    </row>
    <row r="501" spans="1:12" x14ac:dyDescent="0.3">
      <c r="A501" s="1">
        <v>5500</v>
      </c>
      <c r="B501" s="3" t="s">
        <v>869</v>
      </c>
      <c r="C501" s="3" t="s">
        <v>26</v>
      </c>
      <c r="D501" s="3" t="s">
        <v>30</v>
      </c>
      <c r="E501" s="1">
        <v>38165</v>
      </c>
      <c r="F501" s="2" t="s">
        <v>870</v>
      </c>
      <c r="G501" s="3" t="s">
        <v>24</v>
      </c>
      <c r="H501" s="1">
        <v>46</v>
      </c>
      <c r="I501" s="1">
        <v>4</v>
      </c>
      <c r="J501"/>
      <c r="K501"/>
      <c r="L501"/>
    </row>
    <row r="502" spans="1:12" x14ac:dyDescent="0.3">
      <c r="A502" s="1">
        <v>5501</v>
      </c>
      <c r="B502" s="3" t="s">
        <v>871</v>
      </c>
      <c r="C502" s="3" t="s">
        <v>35</v>
      </c>
      <c r="D502" s="3" t="s">
        <v>11</v>
      </c>
      <c r="E502" s="1">
        <v>145778</v>
      </c>
      <c r="F502" s="2" t="s">
        <v>872</v>
      </c>
      <c r="G502" s="3" t="s">
        <v>13</v>
      </c>
      <c r="H502" s="1">
        <v>41</v>
      </c>
      <c r="I502" s="1">
        <v>4</v>
      </c>
      <c r="J502"/>
      <c r="K502"/>
      <c r="L502"/>
    </row>
    <row r="503" spans="1:12" x14ac:dyDescent="0.3">
      <c r="A503" s="1">
        <v>5502</v>
      </c>
      <c r="B503" s="3" t="s">
        <v>873</v>
      </c>
      <c r="C503" s="3" t="s">
        <v>79</v>
      </c>
      <c r="D503" s="3" t="s">
        <v>87</v>
      </c>
      <c r="E503" s="1">
        <v>76087</v>
      </c>
      <c r="F503" s="2" t="s">
        <v>874</v>
      </c>
      <c r="G503" s="3" t="s">
        <v>24</v>
      </c>
      <c r="H503" s="1">
        <v>49</v>
      </c>
      <c r="I503" s="1">
        <v>2</v>
      </c>
      <c r="J503"/>
      <c r="K503"/>
      <c r="L503"/>
    </row>
    <row r="504" spans="1:12" x14ac:dyDescent="0.3">
      <c r="A504" s="1">
        <v>5503</v>
      </c>
      <c r="B504" s="3" t="s">
        <v>875</v>
      </c>
      <c r="C504" s="3" t="s">
        <v>35</v>
      </c>
      <c r="D504" s="3" t="s">
        <v>52</v>
      </c>
      <c r="E504" s="1">
        <v>135567</v>
      </c>
      <c r="F504" s="2" t="s">
        <v>876</v>
      </c>
      <c r="G504" s="3" t="s">
        <v>24</v>
      </c>
      <c r="H504" s="1">
        <v>32</v>
      </c>
      <c r="I504" s="1">
        <v>5</v>
      </c>
      <c r="J504"/>
      <c r="K504"/>
      <c r="L504"/>
    </row>
    <row r="505" spans="1:12" x14ac:dyDescent="0.3">
      <c r="A505" s="1">
        <v>5504</v>
      </c>
      <c r="B505" s="3" t="s">
        <v>109</v>
      </c>
      <c r="C505" s="3" t="s">
        <v>63</v>
      </c>
      <c r="D505" s="3" t="s">
        <v>30</v>
      </c>
      <c r="E505" s="1">
        <v>86077</v>
      </c>
      <c r="F505" s="2" t="s">
        <v>877</v>
      </c>
      <c r="G505" s="3" t="s">
        <v>13</v>
      </c>
      <c r="H505" s="1">
        <v>34</v>
      </c>
      <c r="I505" s="1">
        <v>2</v>
      </c>
      <c r="J505"/>
      <c r="K505"/>
      <c r="L505"/>
    </row>
    <row r="506" spans="1:12" x14ac:dyDescent="0.3">
      <c r="A506" s="1">
        <v>5505</v>
      </c>
      <c r="B506" s="3" t="s">
        <v>878</v>
      </c>
      <c r="C506" s="3" t="s">
        <v>35</v>
      </c>
      <c r="D506" s="3" t="s">
        <v>61</v>
      </c>
      <c r="E506" s="1">
        <v>123321</v>
      </c>
      <c r="F506" s="2" t="s">
        <v>879</v>
      </c>
      <c r="G506" s="3" t="s">
        <v>13</v>
      </c>
      <c r="H506" s="1">
        <v>38</v>
      </c>
      <c r="I506" s="1">
        <v>2</v>
      </c>
      <c r="J506"/>
      <c r="K506"/>
      <c r="L506"/>
    </row>
    <row r="507" spans="1:12" x14ac:dyDescent="0.3">
      <c r="A507" s="1">
        <v>5506</v>
      </c>
      <c r="B507" s="3" t="s">
        <v>880</v>
      </c>
      <c r="C507" s="3" t="s">
        <v>26</v>
      </c>
      <c r="D507" s="3" t="s">
        <v>36</v>
      </c>
      <c r="E507" s="1">
        <v>38624</v>
      </c>
      <c r="F507" s="2" t="s">
        <v>881</v>
      </c>
      <c r="G507" s="3" t="s">
        <v>13</v>
      </c>
      <c r="H507" s="1">
        <v>39</v>
      </c>
      <c r="I507" s="1">
        <v>5</v>
      </c>
      <c r="J507"/>
      <c r="K507"/>
      <c r="L507"/>
    </row>
    <row r="508" spans="1:12" x14ac:dyDescent="0.3">
      <c r="A508" s="1">
        <v>5507</v>
      </c>
      <c r="B508" s="3" t="s">
        <v>882</v>
      </c>
      <c r="C508" s="3" t="s">
        <v>39</v>
      </c>
      <c r="D508" s="3" t="s">
        <v>49</v>
      </c>
      <c r="E508" s="1">
        <v>111369</v>
      </c>
      <c r="F508" s="2" t="s">
        <v>333</v>
      </c>
      <c r="G508" s="3" t="s">
        <v>13</v>
      </c>
      <c r="H508" s="1">
        <v>46</v>
      </c>
      <c r="I508" s="1">
        <v>3</v>
      </c>
      <c r="J508"/>
      <c r="K508"/>
      <c r="L508"/>
    </row>
    <row r="509" spans="1:12" x14ac:dyDescent="0.3">
      <c r="A509" s="1">
        <v>5508</v>
      </c>
      <c r="B509" s="3" t="s">
        <v>883</v>
      </c>
      <c r="C509" s="3" t="s">
        <v>26</v>
      </c>
      <c r="D509" s="3" t="s">
        <v>87</v>
      </c>
      <c r="E509" s="1">
        <v>83713</v>
      </c>
      <c r="F509" s="2" t="s">
        <v>884</v>
      </c>
      <c r="G509" s="3" t="s">
        <v>13</v>
      </c>
      <c r="H509" s="1">
        <v>39</v>
      </c>
      <c r="I509" s="1">
        <v>1</v>
      </c>
      <c r="J509"/>
      <c r="K509"/>
      <c r="L509"/>
    </row>
    <row r="510" spans="1:12" x14ac:dyDescent="0.3">
      <c r="A510" s="1">
        <v>5509</v>
      </c>
      <c r="B510" s="3" t="s">
        <v>1134</v>
      </c>
      <c r="C510" s="3" t="s">
        <v>35</v>
      </c>
      <c r="D510" s="3" t="s">
        <v>49</v>
      </c>
      <c r="E510" s="1">
        <v>105454</v>
      </c>
      <c r="F510" s="2" t="s">
        <v>533</v>
      </c>
      <c r="G510" s="3" t="s">
        <v>24</v>
      </c>
      <c r="H510" s="1">
        <v>36</v>
      </c>
      <c r="I510" s="1">
        <v>4</v>
      </c>
      <c r="J510"/>
      <c r="K510"/>
      <c r="L510"/>
    </row>
    <row r="511" spans="1:12" x14ac:dyDescent="0.3">
      <c r="A511" s="1">
        <v>5510</v>
      </c>
      <c r="B511" s="3" t="s">
        <v>885</v>
      </c>
      <c r="C511" s="3" t="s">
        <v>70</v>
      </c>
      <c r="D511" s="3" t="s">
        <v>49</v>
      </c>
      <c r="E511" s="1">
        <v>64575</v>
      </c>
      <c r="F511" s="2" t="s">
        <v>886</v>
      </c>
      <c r="G511" s="3" t="s">
        <v>13</v>
      </c>
      <c r="H511" s="1">
        <v>38</v>
      </c>
      <c r="I511" s="1">
        <v>4</v>
      </c>
      <c r="J511"/>
      <c r="K511"/>
      <c r="L511"/>
    </row>
    <row r="512" spans="1:12" x14ac:dyDescent="0.3">
      <c r="A512" s="1">
        <v>5511</v>
      </c>
      <c r="B512" s="3" t="s">
        <v>887</v>
      </c>
      <c r="C512" s="3" t="s">
        <v>15</v>
      </c>
      <c r="D512" s="3" t="s">
        <v>16</v>
      </c>
      <c r="E512" s="1">
        <v>126026</v>
      </c>
      <c r="F512" s="2" t="s">
        <v>888</v>
      </c>
      <c r="G512" s="3" t="s">
        <v>24</v>
      </c>
      <c r="H512" s="1">
        <v>27</v>
      </c>
      <c r="I512" s="1">
        <v>1</v>
      </c>
      <c r="J512"/>
      <c r="K512"/>
      <c r="L512"/>
    </row>
    <row r="513" spans="1:12" x14ac:dyDescent="0.3">
      <c r="A513" s="1">
        <v>5512</v>
      </c>
      <c r="B513" s="3" t="s">
        <v>889</v>
      </c>
      <c r="C513" s="3" t="s">
        <v>70</v>
      </c>
      <c r="D513" s="3" t="s">
        <v>87</v>
      </c>
      <c r="E513" s="1">
        <v>111323</v>
      </c>
      <c r="F513" s="2" t="s">
        <v>890</v>
      </c>
      <c r="G513" s="3" t="s">
        <v>13</v>
      </c>
      <c r="H513" s="1">
        <v>31</v>
      </c>
      <c r="I513" s="1">
        <v>2</v>
      </c>
      <c r="J513"/>
      <c r="K513"/>
      <c r="L513"/>
    </row>
    <row r="514" spans="1:12" x14ac:dyDescent="0.3">
      <c r="A514" s="1">
        <v>5513</v>
      </c>
      <c r="B514" s="3" t="s">
        <v>521</v>
      </c>
      <c r="C514" s="3" t="s">
        <v>70</v>
      </c>
      <c r="D514" s="3" t="s">
        <v>30</v>
      </c>
      <c r="E514" s="1">
        <v>45854</v>
      </c>
      <c r="F514" s="2" t="s">
        <v>891</v>
      </c>
      <c r="G514" s="3" t="s">
        <v>24</v>
      </c>
      <c r="H514" s="1">
        <v>35</v>
      </c>
      <c r="I514" s="1">
        <v>2</v>
      </c>
      <c r="J514"/>
      <c r="K514"/>
      <c r="L514"/>
    </row>
    <row r="515" spans="1:12" x14ac:dyDescent="0.3">
      <c r="A515" s="1">
        <v>5514</v>
      </c>
      <c r="B515" s="3" t="s">
        <v>892</v>
      </c>
      <c r="C515" s="3" t="s">
        <v>15</v>
      </c>
      <c r="D515" s="3" t="s">
        <v>27</v>
      </c>
      <c r="E515" s="1">
        <v>93121</v>
      </c>
      <c r="F515" s="2" t="s">
        <v>893</v>
      </c>
      <c r="G515" s="3" t="s">
        <v>13</v>
      </c>
      <c r="H515" s="1">
        <v>35</v>
      </c>
      <c r="I515" s="1">
        <v>1</v>
      </c>
      <c r="J515"/>
      <c r="K515"/>
      <c r="L515"/>
    </row>
    <row r="516" spans="1:12" x14ac:dyDescent="0.3">
      <c r="A516" s="1">
        <v>5515</v>
      </c>
      <c r="B516" s="3" t="s">
        <v>894</v>
      </c>
      <c r="C516" s="3" t="s">
        <v>35</v>
      </c>
      <c r="D516" s="3" t="s">
        <v>20</v>
      </c>
      <c r="E516" s="1">
        <v>47080</v>
      </c>
      <c r="F516" s="2" t="s">
        <v>895</v>
      </c>
      <c r="G516" s="3" t="s">
        <v>24</v>
      </c>
      <c r="H516" s="1">
        <v>38</v>
      </c>
      <c r="I516" s="1">
        <v>3</v>
      </c>
      <c r="J516"/>
      <c r="K516"/>
      <c r="L516"/>
    </row>
    <row r="517" spans="1:12" x14ac:dyDescent="0.3">
      <c r="A517" s="1">
        <v>5516</v>
      </c>
      <c r="B517" s="3" t="s">
        <v>896</v>
      </c>
      <c r="C517" s="3" t="s">
        <v>63</v>
      </c>
      <c r="D517" s="3" t="s">
        <v>11</v>
      </c>
      <c r="E517" s="1">
        <v>43297</v>
      </c>
      <c r="F517" s="2" t="s">
        <v>897</v>
      </c>
      <c r="G517" s="3" t="s">
        <v>13</v>
      </c>
      <c r="H517" s="1">
        <v>23</v>
      </c>
      <c r="I517" s="1">
        <v>3</v>
      </c>
      <c r="J517"/>
      <c r="K517"/>
      <c r="L517"/>
    </row>
    <row r="518" spans="1:12" x14ac:dyDescent="0.3">
      <c r="A518" s="1">
        <v>5517</v>
      </c>
      <c r="B518" s="3" t="s">
        <v>898</v>
      </c>
      <c r="C518" s="3" t="s">
        <v>19</v>
      </c>
      <c r="D518" s="3" t="s">
        <v>52</v>
      </c>
      <c r="E518" s="1">
        <v>84955</v>
      </c>
      <c r="F518" s="2" t="s">
        <v>899</v>
      </c>
      <c r="G518" s="3" t="s">
        <v>24</v>
      </c>
      <c r="H518" s="1">
        <v>22</v>
      </c>
      <c r="I518" s="1">
        <v>1</v>
      </c>
      <c r="J518"/>
      <c r="K518"/>
      <c r="L518"/>
    </row>
    <row r="519" spans="1:12" x14ac:dyDescent="0.3">
      <c r="A519" s="1">
        <v>5518</v>
      </c>
      <c r="B519" s="3" t="s">
        <v>900</v>
      </c>
      <c r="C519" s="3" t="s">
        <v>35</v>
      </c>
      <c r="D519" s="3" t="s">
        <v>16</v>
      </c>
      <c r="E519" s="1">
        <v>72516</v>
      </c>
      <c r="F519" s="2" t="s">
        <v>737</v>
      </c>
      <c r="G519" s="3" t="s">
        <v>24</v>
      </c>
      <c r="H519" s="1">
        <v>42</v>
      </c>
      <c r="I519" s="1">
        <v>4</v>
      </c>
      <c r="J519"/>
      <c r="K519"/>
      <c r="L519"/>
    </row>
    <row r="520" spans="1:12" x14ac:dyDescent="0.3">
      <c r="A520" s="1">
        <v>5519</v>
      </c>
      <c r="B520" s="3" t="s">
        <v>901</v>
      </c>
      <c r="C520" s="3" t="s">
        <v>39</v>
      </c>
      <c r="D520" s="3" t="s">
        <v>16</v>
      </c>
      <c r="E520" s="1">
        <v>49793</v>
      </c>
      <c r="F520" s="2" t="s">
        <v>902</v>
      </c>
      <c r="G520" s="3" t="s">
        <v>24</v>
      </c>
      <c r="H520" s="1">
        <v>25</v>
      </c>
      <c r="I520" s="1">
        <v>2</v>
      </c>
      <c r="J520"/>
      <c r="K520"/>
      <c r="L520"/>
    </row>
    <row r="521" spans="1:12" x14ac:dyDescent="0.3">
      <c r="A521" s="1">
        <v>5520</v>
      </c>
      <c r="B521" s="3" t="s">
        <v>671</v>
      </c>
      <c r="C521" s="3" t="s">
        <v>26</v>
      </c>
      <c r="D521" s="3" t="s">
        <v>49</v>
      </c>
      <c r="E521" s="1">
        <v>81205</v>
      </c>
      <c r="F521" s="2" t="s">
        <v>903</v>
      </c>
      <c r="G521" s="3" t="s">
        <v>13</v>
      </c>
      <c r="H521" s="1">
        <v>36</v>
      </c>
      <c r="I521" s="1">
        <v>3</v>
      </c>
      <c r="J521"/>
      <c r="K521"/>
      <c r="L521"/>
    </row>
    <row r="522" spans="1:12" x14ac:dyDescent="0.3">
      <c r="A522" s="1">
        <v>5521</v>
      </c>
      <c r="B522" s="3" t="s">
        <v>904</v>
      </c>
      <c r="C522" s="3" t="s">
        <v>26</v>
      </c>
      <c r="D522" s="3" t="s">
        <v>16</v>
      </c>
      <c r="E522" s="1">
        <v>62600</v>
      </c>
      <c r="F522" s="2" t="s">
        <v>905</v>
      </c>
      <c r="G522" s="3" t="s">
        <v>13</v>
      </c>
      <c r="H522" s="1">
        <v>39</v>
      </c>
      <c r="I522" s="1">
        <v>2</v>
      </c>
      <c r="J522"/>
      <c r="K522"/>
      <c r="L522"/>
    </row>
    <row r="523" spans="1:12" x14ac:dyDescent="0.3">
      <c r="A523" s="1">
        <v>5522</v>
      </c>
      <c r="B523" s="3" t="s">
        <v>906</v>
      </c>
      <c r="C523" s="3" t="s">
        <v>19</v>
      </c>
      <c r="D523" s="3" t="s">
        <v>20</v>
      </c>
      <c r="E523" s="1">
        <v>43637</v>
      </c>
      <c r="F523" s="2" t="s">
        <v>907</v>
      </c>
      <c r="G523" s="3" t="s">
        <v>24</v>
      </c>
      <c r="H523" s="1">
        <v>39</v>
      </c>
      <c r="I523" s="1">
        <v>4</v>
      </c>
      <c r="J523"/>
      <c r="K523"/>
      <c r="L523"/>
    </row>
    <row r="524" spans="1:12" x14ac:dyDescent="0.3">
      <c r="A524" s="1">
        <v>5523</v>
      </c>
      <c r="B524" s="3" t="s">
        <v>908</v>
      </c>
      <c r="C524" s="3" t="s">
        <v>15</v>
      </c>
      <c r="D524" s="3" t="s">
        <v>30</v>
      </c>
      <c r="E524" s="1">
        <v>29270</v>
      </c>
      <c r="F524" s="2" t="s">
        <v>217</v>
      </c>
      <c r="G524" s="3" t="s">
        <v>13</v>
      </c>
      <c r="H524" s="1">
        <v>54</v>
      </c>
      <c r="I524" s="1">
        <v>1</v>
      </c>
      <c r="J524"/>
      <c r="K524"/>
      <c r="L524"/>
    </row>
    <row r="525" spans="1:12" x14ac:dyDescent="0.3">
      <c r="A525" s="1">
        <v>5524</v>
      </c>
      <c r="B525" s="3" t="s">
        <v>909</v>
      </c>
      <c r="C525" s="3" t="s">
        <v>39</v>
      </c>
      <c r="D525" s="3" t="s">
        <v>27</v>
      </c>
      <c r="E525" s="1">
        <v>74319</v>
      </c>
      <c r="F525" s="2" t="s">
        <v>910</v>
      </c>
      <c r="G525" s="3" t="s">
        <v>24</v>
      </c>
      <c r="H525" s="1">
        <v>49</v>
      </c>
      <c r="I525" s="1">
        <v>1</v>
      </c>
      <c r="J525"/>
      <c r="K525"/>
      <c r="L525"/>
    </row>
    <row r="526" spans="1:12" x14ac:dyDescent="0.3">
      <c r="A526" s="1">
        <v>5525</v>
      </c>
      <c r="B526" s="3" t="s">
        <v>911</v>
      </c>
      <c r="C526" s="3" t="s">
        <v>39</v>
      </c>
      <c r="D526" s="3" t="s">
        <v>27</v>
      </c>
      <c r="E526" s="1">
        <v>148557</v>
      </c>
      <c r="F526" s="2" t="s">
        <v>912</v>
      </c>
      <c r="G526" s="3" t="s">
        <v>1534</v>
      </c>
      <c r="H526" s="1">
        <v>28</v>
      </c>
      <c r="I526" s="1">
        <v>3</v>
      </c>
      <c r="J526"/>
      <c r="K526"/>
      <c r="L526"/>
    </row>
    <row r="527" spans="1:12" x14ac:dyDescent="0.3">
      <c r="A527" s="1">
        <v>5526</v>
      </c>
      <c r="B527" s="3" t="s">
        <v>913</v>
      </c>
      <c r="C527" s="3" t="s">
        <v>79</v>
      </c>
      <c r="D527" s="3" t="s">
        <v>87</v>
      </c>
      <c r="E527" s="1">
        <v>53783</v>
      </c>
      <c r="F527" s="2" t="s">
        <v>914</v>
      </c>
      <c r="G527" s="3" t="s">
        <v>24</v>
      </c>
      <c r="H527" s="1">
        <v>46</v>
      </c>
      <c r="I527" s="1">
        <v>1</v>
      </c>
      <c r="J527"/>
      <c r="K527"/>
      <c r="L527"/>
    </row>
    <row r="528" spans="1:12" x14ac:dyDescent="0.3">
      <c r="A528" s="1">
        <v>5527</v>
      </c>
      <c r="B528" s="3" t="s">
        <v>915</v>
      </c>
      <c r="C528" s="3" t="s">
        <v>44</v>
      </c>
      <c r="D528" s="3" t="s">
        <v>20</v>
      </c>
      <c r="E528" s="1">
        <v>58946</v>
      </c>
      <c r="F528" s="2" t="s">
        <v>905</v>
      </c>
      <c r="G528" s="3" t="s">
        <v>13</v>
      </c>
      <c r="H528" s="1">
        <v>44</v>
      </c>
      <c r="I528" s="1">
        <v>2</v>
      </c>
      <c r="J528"/>
      <c r="K528"/>
      <c r="L528"/>
    </row>
    <row r="529" spans="1:12" x14ac:dyDescent="0.3">
      <c r="A529" s="1">
        <v>5528</v>
      </c>
      <c r="B529" s="3" t="s">
        <v>319</v>
      </c>
      <c r="C529" s="3" t="s">
        <v>63</v>
      </c>
      <c r="D529" s="3" t="s">
        <v>20</v>
      </c>
      <c r="E529" s="1">
        <v>28567</v>
      </c>
      <c r="F529" s="2" t="s">
        <v>888</v>
      </c>
      <c r="G529" s="3" t="s">
        <v>24</v>
      </c>
      <c r="H529" s="1">
        <v>43</v>
      </c>
      <c r="I529" s="1">
        <v>5</v>
      </c>
      <c r="J529"/>
      <c r="K529"/>
      <c r="L529"/>
    </row>
    <row r="530" spans="1:12" x14ac:dyDescent="0.3">
      <c r="A530" s="1">
        <v>5529</v>
      </c>
      <c r="B530" s="3" t="s">
        <v>213</v>
      </c>
      <c r="C530" s="3" t="s">
        <v>26</v>
      </c>
      <c r="D530" s="3" t="s">
        <v>27</v>
      </c>
      <c r="E530" s="1">
        <v>63694</v>
      </c>
      <c r="F530" s="2" t="s">
        <v>916</v>
      </c>
      <c r="G530" s="3" t="s">
        <v>24</v>
      </c>
      <c r="H530" s="1">
        <v>29</v>
      </c>
      <c r="I530" s="1">
        <v>2</v>
      </c>
      <c r="J530"/>
      <c r="K530"/>
      <c r="L530"/>
    </row>
    <row r="531" spans="1:12" x14ac:dyDescent="0.3">
      <c r="A531" s="1">
        <v>5530</v>
      </c>
      <c r="B531" s="3" t="s">
        <v>917</v>
      </c>
      <c r="C531" s="3" t="s">
        <v>35</v>
      </c>
      <c r="D531" s="3" t="s">
        <v>27</v>
      </c>
      <c r="E531" s="1">
        <v>107645</v>
      </c>
      <c r="F531" s="2" t="s">
        <v>918</v>
      </c>
      <c r="G531" s="3" t="s">
        <v>24</v>
      </c>
      <c r="H531" s="1">
        <v>38</v>
      </c>
      <c r="I531" s="1">
        <v>3</v>
      </c>
      <c r="J531"/>
      <c r="K531"/>
      <c r="L531"/>
    </row>
    <row r="532" spans="1:12" x14ac:dyDescent="0.3">
      <c r="A532" s="1">
        <v>5531</v>
      </c>
      <c r="B532" s="3" t="s">
        <v>919</v>
      </c>
      <c r="C532" s="3" t="s">
        <v>44</v>
      </c>
      <c r="D532" s="3" t="s">
        <v>49</v>
      </c>
      <c r="E532" s="1">
        <v>73238</v>
      </c>
      <c r="F532" s="2" t="s">
        <v>920</v>
      </c>
      <c r="G532" s="3" t="s">
        <v>24</v>
      </c>
      <c r="H532" s="1">
        <v>46</v>
      </c>
      <c r="I532" s="1">
        <v>4</v>
      </c>
      <c r="J532"/>
      <c r="K532"/>
      <c r="L532"/>
    </row>
    <row r="533" spans="1:12" x14ac:dyDescent="0.3">
      <c r="A533" s="1">
        <v>5532</v>
      </c>
      <c r="B533" s="3" t="s">
        <v>355</v>
      </c>
      <c r="C533" s="3" t="s">
        <v>63</v>
      </c>
      <c r="D533" s="3" t="s">
        <v>11</v>
      </c>
      <c r="E533" s="1">
        <v>58001</v>
      </c>
      <c r="F533" s="2" t="s">
        <v>921</v>
      </c>
      <c r="G533" s="3" t="s">
        <v>13</v>
      </c>
      <c r="H533" s="1">
        <v>31</v>
      </c>
      <c r="I533" s="1">
        <v>5</v>
      </c>
      <c r="J533"/>
      <c r="K533"/>
      <c r="L533"/>
    </row>
    <row r="534" spans="1:12" x14ac:dyDescent="0.3">
      <c r="A534" s="1">
        <v>5533</v>
      </c>
      <c r="B534" s="3" t="s">
        <v>922</v>
      </c>
      <c r="C534" s="3" t="s">
        <v>15</v>
      </c>
      <c r="D534" s="3" t="s">
        <v>27</v>
      </c>
      <c r="E534" s="1">
        <v>59156</v>
      </c>
      <c r="F534" s="2" t="s">
        <v>923</v>
      </c>
      <c r="G534" s="3" t="s">
        <v>13</v>
      </c>
      <c r="H534" s="1">
        <v>49</v>
      </c>
      <c r="I534" s="1">
        <v>5</v>
      </c>
      <c r="J534"/>
      <c r="K534"/>
      <c r="L534"/>
    </row>
    <row r="535" spans="1:12" x14ac:dyDescent="0.3">
      <c r="A535" s="1">
        <v>5534</v>
      </c>
      <c r="B535" s="3" t="s">
        <v>924</v>
      </c>
      <c r="C535" s="3" t="s">
        <v>70</v>
      </c>
      <c r="D535" s="3" t="s">
        <v>11</v>
      </c>
      <c r="E535" s="1">
        <v>111783</v>
      </c>
      <c r="F535" s="2" t="s">
        <v>925</v>
      </c>
      <c r="G535" s="3" t="s">
        <v>24</v>
      </c>
      <c r="H535" s="1">
        <v>27</v>
      </c>
      <c r="I535" s="1">
        <v>3</v>
      </c>
      <c r="J535"/>
      <c r="K535"/>
      <c r="L535"/>
    </row>
    <row r="536" spans="1:12" x14ac:dyDescent="0.3">
      <c r="A536" s="1">
        <v>5535</v>
      </c>
      <c r="B536" s="3" t="s">
        <v>926</v>
      </c>
      <c r="C536" s="3" t="s">
        <v>39</v>
      </c>
      <c r="D536" s="3" t="s">
        <v>61</v>
      </c>
      <c r="E536" s="1">
        <v>31317</v>
      </c>
      <c r="F536" s="2" t="s">
        <v>927</v>
      </c>
      <c r="G536" s="3" t="s">
        <v>24</v>
      </c>
      <c r="H536" s="1">
        <v>29</v>
      </c>
      <c r="I536" s="1">
        <v>5</v>
      </c>
      <c r="J536"/>
      <c r="K536"/>
      <c r="L536"/>
    </row>
    <row r="537" spans="1:12" x14ac:dyDescent="0.3">
      <c r="A537" s="1">
        <v>5536</v>
      </c>
      <c r="B537" s="3" t="s">
        <v>506</v>
      </c>
      <c r="C537" s="3" t="s">
        <v>79</v>
      </c>
      <c r="D537" s="3" t="s">
        <v>61</v>
      </c>
      <c r="E537" s="1">
        <v>148852</v>
      </c>
      <c r="F537" s="2" t="s">
        <v>928</v>
      </c>
      <c r="G537" s="3" t="s">
        <v>13</v>
      </c>
      <c r="H537" s="1">
        <v>27</v>
      </c>
      <c r="I537" s="1">
        <v>3</v>
      </c>
      <c r="J537"/>
      <c r="K537"/>
      <c r="L537"/>
    </row>
    <row r="538" spans="1:12" x14ac:dyDescent="0.3">
      <c r="A538" s="1">
        <v>5537</v>
      </c>
      <c r="B538" s="3" t="s">
        <v>829</v>
      </c>
      <c r="C538" s="3" t="s">
        <v>63</v>
      </c>
      <c r="D538" s="3" t="s">
        <v>87</v>
      </c>
      <c r="E538" s="1">
        <v>122969</v>
      </c>
      <c r="F538" s="2" t="s">
        <v>760</v>
      </c>
      <c r="G538" s="3" t="s">
        <v>24</v>
      </c>
      <c r="H538" s="1">
        <v>51</v>
      </c>
      <c r="I538" s="1">
        <v>5</v>
      </c>
      <c r="J538"/>
      <c r="K538"/>
      <c r="L538"/>
    </row>
    <row r="539" spans="1:12" x14ac:dyDescent="0.3">
      <c r="A539" s="1">
        <v>5538</v>
      </c>
      <c r="B539" s="3" t="s">
        <v>1573</v>
      </c>
      <c r="C539" s="3" t="s">
        <v>10</v>
      </c>
      <c r="D539" s="3" t="s">
        <v>52</v>
      </c>
      <c r="E539" s="1">
        <v>141416</v>
      </c>
      <c r="F539" s="2" t="s">
        <v>929</v>
      </c>
      <c r="G539" s="3" t="s">
        <v>13</v>
      </c>
      <c r="H539" s="1">
        <v>32</v>
      </c>
      <c r="I539" s="1">
        <v>2</v>
      </c>
      <c r="J539"/>
      <c r="K539"/>
      <c r="L539"/>
    </row>
    <row r="540" spans="1:12" x14ac:dyDescent="0.3">
      <c r="A540" s="1">
        <v>5539</v>
      </c>
      <c r="B540" s="3" t="s">
        <v>855</v>
      </c>
      <c r="C540" s="3" t="s">
        <v>79</v>
      </c>
      <c r="D540" s="3" t="s">
        <v>20</v>
      </c>
      <c r="E540" s="1">
        <v>76590</v>
      </c>
      <c r="F540" s="2" t="s">
        <v>930</v>
      </c>
      <c r="G540" s="3" t="s">
        <v>24</v>
      </c>
      <c r="H540" s="1">
        <v>37</v>
      </c>
      <c r="I540" s="1">
        <v>4</v>
      </c>
      <c r="J540"/>
      <c r="K540"/>
      <c r="L540"/>
    </row>
    <row r="541" spans="1:12" x14ac:dyDescent="0.3">
      <c r="A541" s="1">
        <v>5540</v>
      </c>
      <c r="B541" s="3" t="s">
        <v>931</v>
      </c>
      <c r="C541" s="3" t="s">
        <v>44</v>
      </c>
      <c r="D541" s="3" t="s">
        <v>30</v>
      </c>
      <c r="E541" s="1">
        <v>59862</v>
      </c>
      <c r="F541" s="2" t="s">
        <v>932</v>
      </c>
      <c r="G541" s="3" t="s">
        <v>24</v>
      </c>
      <c r="H541" s="1">
        <v>51</v>
      </c>
      <c r="I541" s="1">
        <v>4</v>
      </c>
      <c r="J541"/>
      <c r="K541"/>
      <c r="L541"/>
    </row>
    <row r="542" spans="1:12" x14ac:dyDescent="0.3">
      <c r="A542" s="1">
        <v>5541</v>
      </c>
      <c r="B542" s="3" t="s">
        <v>933</v>
      </c>
      <c r="C542" s="3" t="s">
        <v>19</v>
      </c>
      <c r="D542" s="3" t="s">
        <v>20</v>
      </c>
      <c r="E542" s="1">
        <v>53110</v>
      </c>
      <c r="F542" s="2" t="s">
        <v>934</v>
      </c>
      <c r="G542" s="3" t="s">
        <v>24</v>
      </c>
      <c r="H542" s="1">
        <v>52</v>
      </c>
      <c r="I542" s="1">
        <v>3</v>
      </c>
      <c r="J542"/>
      <c r="K542"/>
      <c r="L542"/>
    </row>
    <row r="543" spans="1:12" x14ac:dyDescent="0.3">
      <c r="A543" s="1">
        <v>5542</v>
      </c>
      <c r="B543" s="3" t="s">
        <v>347</v>
      </c>
      <c r="C543" s="3" t="s">
        <v>70</v>
      </c>
      <c r="D543" s="3" t="s">
        <v>87</v>
      </c>
      <c r="E543" s="1">
        <v>102433</v>
      </c>
      <c r="F543" s="2" t="s">
        <v>935</v>
      </c>
      <c r="G543" s="3" t="s">
        <v>13</v>
      </c>
      <c r="H543" s="1">
        <v>38</v>
      </c>
      <c r="I543" s="1">
        <v>5</v>
      </c>
      <c r="J543"/>
      <c r="K543"/>
      <c r="L543"/>
    </row>
    <row r="544" spans="1:12" x14ac:dyDescent="0.3">
      <c r="A544" s="1">
        <v>5543</v>
      </c>
      <c r="B544" s="3" t="s">
        <v>1574</v>
      </c>
      <c r="C544" s="3" t="s">
        <v>15</v>
      </c>
      <c r="D544" s="3" t="s">
        <v>36</v>
      </c>
      <c r="E544" s="1">
        <v>60390</v>
      </c>
      <c r="F544" s="2" t="s">
        <v>936</v>
      </c>
      <c r="G544" s="3" t="s">
        <v>13</v>
      </c>
      <c r="H544" s="1">
        <v>54</v>
      </c>
      <c r="I544" s="1">
        <v>1</v>
      </c>
      <c r="J544"/>
      <c r="K544"/>
      <c r="L544"/>
    </row>
    <row r="545" spans="1:12" x14ac:dyDescent="0.3">
      <c r="A545" s="1">
        <v>5544</v>
      </c>
      <c r="B545" s="3" t="s">
        <v>937</v>
      </c>
      <c r="C545" s="3" t="s">
        <v>44</v>
      </c>
      <c r="D545" s="3" t="s">
        <v>36</v>
      </c>
      <c r="E545" s="1">
        <v>70039</v>
      </c>
      <c r="F545" s="2" t="s">
        <v>938</v>
      </c>
      <c r="G545" s="3" t="s">
        <v>13</v>
      </c>
      <c r="H545" s="1">
        <v>26</v>
      </c>
      <c r="I545" s="1">
        <v>1</v>
      </c>
      <c r="J545"/>
      <c r="K545"/>
      <c r="L545"/>
    </row>
    <row r="546" spans="1:12" x14ac:dyDescent="0.3">
      <c r="A546" s="1">
        <v>5545</v>
      </c>
      <c r="B546" s="3" t="s">
        <v>939</v>
      </c>
      <c r="C546" s="3" t="s">
        <v>26</v>
      </c>
      <c r="D546" s="3" t="s">
        <v>30</v>
      </c>
      <c r="E546" s="1">
        <v>137894</v>
      </c>
      <c r="F546" s="2" t="s">
        <v>940</v>
      </c>
      <c r="G546" s="3" t="s">
        <v>13</v>
      </c>
      <c r="H546" s="1">
        <v>52</v>
      </c>
      <c r="I546" s="1">
        <v>1</v>
      </c>
      <c r="J546"/>
      <c r="K546"/>
      <c r="L546"/>
    </row>
    <row r="547" spans="1:12" x14ac:dyDescent="0.3">
      <c r="A547" s="1">
        <v>5546</v>
      </c>
      <c r="B547" s="3" t="s">
        <v>941</v>
      </c>
      <c r="C547" s="3" t="s">
        <v>15</v>
      </c>
      <c r="D547" s="3" t="s">
        <v>16</v>
      </c>
      <c r="E547" s="1">
        <v>120263</v>
      </c>
      <c r="F547" s="2" t="s">
        <v>942</v>
      </c>
      <c r="G547" s="3" t="s">
        <v>13</v>
      </c>
      <c r="H547" s="1">
        <v>40</v>
      </c>
      <c r="I547" s="1">
        <v>1</v>
      </c>
      <c r="J547"/>
      <c r="K547"/>
      <c r="L547"/>
    </row>
    <row r="548" spans="1:12" x14ac:dyDescent="0.3">
      <c r="A548" s="1">
        <v>5547</v>
      </c>
      <c r="B548" s="3" t="s">
        <v>943</v>
      </c>
      <c r="C548" s="3" t="s">
        <v>63</v>
      </c>
      <c r="D548" s="3" t="s">
        <v>61</v>
      </c>
      <c r="E548" s="1">
        <v>29745</v>
      </c>
      <c r="F548" s="2" t="s">
        <v>944</v>
      </c>
      <c r="G548" s="3" t="s">
        <v>13</v>
      </c>
      <c r="H548" s="1">
        <v>45</v>
      </c>
      <c r="I548" s="1">
        <v>4</v>
      </c>
      <c r="J548"/>
      <c r="K548"/>
      <c r="L548"/>
    </row>
    <row r="549" spans="1:12" x14ac:dyDescent="0.3">
      <c r="A549" s="1">
        <v>5548</v>
      </c>
      <c r="B549" s="3" t="s">
        <v>116</v>
      </c>
      <c r="C549" s="3" t="s">
        <v>35</v>
      </c>
      <c r="D549" s="3" t="s">
        <v>87</v>
      </c>
      <c r="E549" s="1">
        <v>95207</v>
      </c>
      <c r="F549" s="2" t="s">
        <v>945</v>
      </c>
      <c r="G549" s="3" t="s">
        <v>24</v>
      </c>
      <c r="H549" s="1">
        <v>28</v>
      </c>
      <c r="I549" s="1">
        <v>2</v>
      </c>
      <c r="J549"/>
      <c r="K549"/>
      <c r="L549"/>
    </row>
    <row r="550" spans="1:12" x14ac:dyDescent="0.3">
      <c r="A550" s="1">
        <v>5549</v>
      </c>
      <c r="B550" s="3" t="s">
        <v>946</v>
      </c>
      <c r="C550" s="3" t="s">
        <v>15</v>
      </c>
      <c r="D550" s="3" t="s">
        <v>87</v>
      </c>
      <c r="E550" s="1">
        <v>73452</v>
      </c>
      <c r="F550" s="2" t="s">
        <v>947</v>
      </c>
      <c r="G550" s="3" t="s">
        <v>13</v>
      </c>
      <c r="H550" s="1">
        <v>40</v>
      </c>
      <c r="I550" s="1">
        <v>1</v>
      </c>
      <c r="J550"/>
      <c r="K550"/>
      <c r="L550"/>
    </row>
    <row r="551" spans="1:12" x14ac:dyDescent="0.3">
      <c r="A551" s="1">
        <v>5550</v>
      </c>
      <c r="B551" s="3" t="s">
        <v>948</v>
      </c>
      <c r="C551" s="3" t="s">
        <v>35</v>
      </c>
      <c r="D551" s="3" t="s">
        <v>52</v>
      </c>
      <c r="E551" s="1">
        <v>92784</v>
      </c>
      <c r="F551" s="2" t="s">
        <v>949</v>
      </c>
      <c r="G551" s="3" t="s">
        <v>13</v>
      </c>
      <c r="H551" s="1">
        <v>36</v>
      </c>
      <c r="I551" s="1">
        <v>3</v>
      </c>
      <c r="J551"/>
      <c r="K551"/>
      <c r="L551"/>
    </row>
    <row r="552" spans="1:12" x14ac:dyDescent="0.3">
      <c r="A552" s="1">
        <v>5551</v>
      </c>
      <c r="B552" s="3" t="s">
        <v>950</v>
      </c>
      <c r="C552" s="3" t="s">
        <v>10</v>
      </c>
      <c r="D552" s="3" t="s">
        <v>20</v>
      </c>
      <c r="E552" s="1">
        <v>57652</v>
      </c>
      <c r="F552" s="2" t="s">
        <v>951</v>
      </c>
      <c r="G552" s="3" t="s">
        <v>13</v>
      </c>
      <c r="H552" s="1">
        <v>45</v>
      </c>
      <c r="I552" s="1">
        <v>2</v>
      </c>
      <c r="J552"/>
      <c r="K552"/>
      <c r="L552"/>
    </row>
    <row r="553" spans="1:12" x14ac:dyDescent="0.3">
      <c r="A553" s="1">
        <v>5552</v>
      </c>
      <c r="B553" s="3" t="s">
        <v>957</v>
      </c>
      <c r="C553" s="3" t="s">
        <v>63</v>
      </c>
      <c r="D553" s="3" t="s">
        <v>87</v>
      </c>
      <c r="E553" s="1">
        <v>141172</v>
      </c>
      <c r="F553" s="2" t="s">
        <v>952</v>
      </c>
      <c r="G553" s="3" t="s">
        <v>1534</v>
      </c>
      <c r="H553" s="1">
        <v>37</v>
      </c>
      <c r="I553" s="1">
        <v>1</v>
      </c>
      <c r="J553"/>
      <c r="K553"/>
      <c r="L553"/>
    </row>
    <row r="554" spans="1:12" x14ac:dyDescent="0.3">
      <c r="A554" s="1">
        <v>5553</v>
      </c>
      <c r="B554" s="3" t="s">
        <v>1575</v>
      </c>
      <c r="C554" s="3" t="s">
        <v>79</v>
      </c>
      <c r="D554" s="3" t="s">
        <v>49</v>
      </c>
      <c r="E554" s="1">
        <v>97615</v>
      </c>
      <c r="F554" s="2" t="s">
        <v>953</v>
      </c>
      <c r="G554" s="3" t="s">
        <v>24</v>
      </c>
      <c r="H554" s="1">
        <v>44</v>
      </c>
      <c r="I554" s="1">
        <v>4</v>
      </c>
      <c r="J554"/>
      <c r="K554"/>
      <c r="L554"/>
    </row>
    <row r="555" spans="1:12" x14ac:dyDescent="0.3">
      <c r="A555" s="1">
        <v>5554</v>
      </c>
      <c r="B555" s="3" t="s">
        <v>362</v>
      </c>
      <c r="C555" s="3" t="s">
        <v>10</v>
      </c>
      <c r="D555" s="3" t="s">
        <v>49</v>
      </c>
      <c r="E555" s="1">
        <v>87520</v>
      </c>
      <c r="F555" s="2" t="s">
        <v>954</v>
      </c>
      <c r="G555" s="3" t="s">
        <v>13</v>
      </c>
      <c r="H555" s="1">
        <v>39</v>
      </c>
      <c r="I555" s="1">
        <v>5</v>
      </c>
      <c r="J555"/>
      <c r="K555"/>
      <c r="L555"/>
    </row>
    <row r="556" spans="1:12" x14ac:dyDescent="0.3">
      <c r="A556" s="1">
        <v>5555</v>
      </c>
      <c r="B556" s="3" t="s">
        <v>955</v>
      </c>
      <c r="C556" s="3" t="s">
        <v>19</v>
      </c>
      <c r="D556" s="3" t="s">
        <v>27</v>
      </c>
      <c r="E556" s="1">
        <v>40299</v>
      </c>
      <c r="F556" s="2" t="s">
        <v>956</v>
      </c>
      <c r="G556" s="3" t="s">
        <v>24</v>
      </c>
      <c r="H556" s="1">
        <v>29</v>
      </c>
      <c r="I556" s="1">
        <v>1</v>
      </c>
      <c r="J556"/>
      <c r="K556"/>
      <c r="L556"/>
    </row>
    <row r="557" spans="1:12" x14ac:dyDescent="0.3">
      <c r="A557" s="1">
        <v>5556</v>
      </c>
      <c r="B557" s="3" t="s">
        <v>957</v>
      </c>
      <c r="C557" s="3" t="s">
        <v>26</v>
      </c>
      <c r="D557" s="3" t="s">
        <v>16</v>
      </c>
      <c r="E557" s="1">
        <v>87520</v>
      </c>
      <c r="F557" s="2" t="s">
        <v>958</v>
      </c>
      <c r="G557" s="3" t="s">
        <v>24</v>
      </c>
      <c r="H557" s="1">
        <v>46</v>
      </c>
      <c r="I557" s="1">
        <v>5</v>
      </c>
      <c r="J557"/>
      <c r="K557"/>
      <c r="L557"/>
    </row>
    <row r="558" spans="1:12" x14ac:dyDescent="0.3">
      <c r="A558" s="1">
        <v>5557</v>
      </c>
      <c r="B558" s="3" t="s">
        <v>336</v>
      </c>
      <c r="C558" s="3" t="s">
        <v>70</v>
      </c>
      <c r="D558" s="3" t="s">
        <v>61</v>
      </c>
      <c r="E558" s="1">
        <v>39289</v>
      </c>
      <c r="F558" s="2" t="s">
        <v>959</v>
      </c>
      <c r="G558" s="3" t="s">
        <v>13</v>
      </c>
      <c r="H558" s="1">
        <v>46</v>
      </c>
      <c r="I558" s="1">
        <v>4</v>
      </c>
      <c r="J558"/>
      <c r="K558"/>
      <c r="L558"/>
    </row>
    <row r="559" spans="1:12" x14ac:dyDescent="0.3">
      <c r="A559" s="1">
        <v>5558</v>
      </c>
      <c r="B559" s="3" t="s">
        <v>960</v>
      </c>
      <c r="C559" s="3" t="s">
        <v>15</v>
      </c>
      <c r="D559" s="3" t="s">
        <v>20</v>
      </c>
      <c r="E559" s="1">
        <v>40833</v>
      </c>
      <c r="F559" s="2" t="s">
        <v>961</v>
      </c>
      <c r="G559" s="3" t="s">
        <v>24</v>
      </c>
      <c r="H559" s="1">
        <v>52</v>
      </c>
      <c r="I559" s="1">
        <v>3</v>
      </c>
      <c r="J559"/>
      <c r="K559"/>
      <c r="L559"/>
    </row>
    <row r="560" spans="1:12" x14ac:dyDescent="0.3">
      <c r="A560" s="1">
        <v>5559</v>
      </c>
      <c r="B560" s="3" t="s">
        <v>962</v>
      </c>
      <c r="C560" s="3" t="s">
        <v>39</v>
      </c>
      <c r="D560" s="3" t="s">
        <v>30</v>
      </c>
      <c r="E560" s="1">
        <v>93157</v>
      </c>
      <c r="F560" s="2" t="s">
        <v>963</v>
      </c>
      <c r="G560" s="3" t="s">
        <v>13</v>
      </c>
      <c r="H560" s="1">
        <v>51</v>
      </c>
      <c r="I560" s="1">
        <v>2</v>
      </c>
      <c r="J560"/>
      <c r="K560"/>
      <c r="L560"/>
    </row>
    <row r="561" spans="1:12" x14ac:dyDescent="0.3">
      <c r="A561" s="1">
        <v>5560</v>
      </c>
      <c r="B561" s="3" t="s">
        <v>964</v>
      </c>
      <c r="C561" s="3" t="s">
        <v>44</v>
      </c>
      <c r="D561" s="3" t="s">
        <v>27</v>
      </c>
      <c r="E561" s="1">
        <v>149949</v>
      </c>
      <c r="F561" s="2" t="s">
        <v>965</v>
      </c>
      <c r="G561" s="3" t="s">
        <v>1534</v>
      </c>
      <c r="H561" s="1">
        <v>35</v>
      </c>
      <c r="I561" s="1">
        <v>4</v>
      </c>
      <c r="J561"/>
      <c r="K561"/>
      <c r="L561"/>
    </row>
    <row r="562" spans="1:12" x14ac:dyDescent="0.3">
      <c r="A562" s="1">
        <v>5561</v>
      </c>
      <c r="B562" s="3" t="s">
        <v>869</v>
      </c>
      <c r="C562" s="3" t="s">
        <v>26</v>
      </c>
      <c r="D562" s="3" t="s">
        <v>87</v>
      </c>
      <c r="E562" s="1">
        <v>104018</v>
      </c>
      <c r="F562" s="2" t="s">
        <v>966</v>
      </c>
      <c r="G562" s="3" t="s">
        <v>13</v>
      </c>
      <c r="H562" s="1">
        <v>22</v>
      </c>
      <c r="I562" s="1">
        <v>3</v>
      </c>
      <c r="J562"/>
      <c r="K562"/>
      <c r="L562"/>
    </row>
    <row r="563" spans="1:12" x14ac:dyDescent="0.3">
      <c r="A563" s="1">
        <v>5562</v>
      </c>
      <c r="B563" s="3" t="s">
        <v>967</v>
      </c>
      <c r="C563" s="3" t="s">
        <v>44</v>
      </c>
      <c r="D563" s="3" t="s">
        <v>52</v>
      </c>
      <c r="E563" s="1">
        <v>39058</v>
      </c>
      <c r="F563" s="2" t="s">
        <v>968</v>
      </c>
      <c r="G563" s="3" t="s">
        <v>24</v>
      </c>
      <c r="H563" s="1">
        <v>53</v>
      </c>
      <c r="I563" s="1">
        <v>1</v>
      </c>
      <c r="J563"/>
      <c r="K563"/>
      <c r="L563"/>
    </row>
    <row r="564" spans="1:12" x14ac:dyDescent="0.3">
      <c r="A564" s="1">
        <v>5563</v>
      </c>
      <c r="B564" s="3" t="s">
        <v>826</v>
      </c>
      <c r="C564" s="3" t="s">
        <v>79</v>
      </c>
      <c r="D564" s="3" t="s">
        <v>61</v>
      </c>
      <c r="E564" s="1">
        <v>114757</v>
      </c>
      <c r="F564" s="2" t="s">
        <v>969</v>
      </c>
      <c r="G564" s="3" t="s">
        <v>1534</v>
      </c>
      <c r="H564" s="1">
        <v>39</v>
      </c>
      <c r="I564" s="1">
        <v>3</v>
      </c>
      <c r="J564"/>
      <c r="K564"/>
      <c r="L564"/>
    </row>
    <row r="565" spans="1:12" x14ac:dyDescent="0.3">
      <c r="A565" s="1">
        <v>5564</v>
      </c>
      <c r="B565" s="3" t="s">
        <v>970</v>
      </c>
      <c r="C565" s="3" t="s">
        <v>63</v>
      </c>
      <c r="D565" s="3" t="s">
        <v>36</v>
      </c>
      <c r="E565" s="1">
        <v>59168</v>
      </c>
      <c r="F565" s="2" t="s">
        <v>971</v>
      </c>
      <c r="G565" s="3" t="s">
        <v>13</v>
      </c>
      <c r="H565" s="1">
        <v>55</v>
      </c>
      <c r="I565" s="1">
        <v>3</v>
      </c>
      <c r="J565"/>
      <c r="K565"/>
      <c r="L565"/>
    </row>
    <row r="566" spans="1:12" x14ac:dyDescent="0.3">
      <c r="A566" s="1">
        <v>5565</v>
      </c>
      <c r="B566" s="3" t="s">
        <v>972</v>
      </c>
      <c r="C566" s="3" t="s">
        <v>44</v>
      </c>
      <c r="D566" s="3" t="s">
        <v>49</v>
      </c>
      <c r="E566" s="1">
        <v>110411</v>
      </c>
      <c r="F566" s="2" t="s">
        <v>973</v>
      </c>
      <c r="G566" s="3" t="s">
        <v>13</v>
      </c>
      <c r="H566" s="1">
        <v>31</v>
      </c>
      <c r="I566" s="1">
        <v>4</v>
      </c>
      <c r="J566"/>
      <c r="K566"/>
      <c r="L566"/>
    </row>
    <row r="567" spans="1:12" x14ac:dyDescent="0.3">
      <c r="A567" s="1">
        <v>5566</v>
      </c>
      <c r="B567" s="3" t="s">
        <v>974</v>
      </c>
      <c r="C567" s="3" t="s">
        <v>35</v>
      </c>
      <c r="D567" s="3" t="s">
        <v>61</v>
      </c>
      <c r="E567" s="1">
        <v>135742</v>
      </c>
      <c r="F567" s="2" t="s">
        <v>975</v>
      </c>
      <c r="G567" s="3" t="s">
        <v>13</v>
      </c>
      <c r="H567" s="1">
        <v>33</v>
      </c>
      <c r="I567" s="1">
        <v>3</v>
      </c>
      <c r="J567"/>
      <c r="K567"/>
      <c r="L567"/>
    </row>
    <row r="568" spans="1:12" x14ac:dyDescent="0.3">
      <c r="A568" s="1">
        <v>5567</v>
      </c>
      <c r="B568" s="3" t="s">
        <v>976</v>
      </c>
      <c r="C568" s="3" t="s">
        <v>19</v>
      </c>
      <c r="D568" s="3" t="s">
        <v>30</v>
      </c>
      <c r="E568" s="1">
        <v>36476</v>
      </c>
      <c r="F568" s="2" t="s">
        <v>977</v>
      </c>
      <c r="G568" s="3" t="s">
        <v>13</v>
      </c>
      <c r="H568" s="1">
        <v>36</v>
      </c>
      <c r="I568" s="1">
        <v>1</v>
      </c>
      <c r="J568"/>
      <c r="K568"/>
      <c r="L568"/>
    </row>
    <row r="569" spans="1:12" x14ac:dyDescent="0.3">
      <c r="A569" s="1">
        <v>5568</v>
      </c>
      <c r="B569" s="3" t="s">
        <v>978</v>
      </c>
      <c r="C569" s="3" t="s">
        <v>15</v>
      </c>
      <c r="D569" s="3" t="s">
        <v>87</v>
      </c>
      <c r="E569" s="1">
        <v>131470</v>
      </c>
      <c r="F569" s="2" t="s">
        <v>942</v>
      </c>
      <c r="G569" s="3" t="s">
        <v>13</v>
      </c>
      <c r="H569" s="1">
        <v>28</v>
      </c>
      <c r="I569" s="1">
        <v>2</v>
      </c>
      <c r="J569"/>
      <c r="K569"/>
      <c r="L569"/>
    </row>
    <row r="570" spans="1:12" x14ac:dyDescent="0.3">
      <c r="A570" s="1">
        <v>5569</v>
      </c>
      <c r="B570" s="3" t="s">
        <v>979</v>
      </c>
      <c r="C570" s="3" t="s">
        <v>63</v>
      </c>
      <c r="D570" s="3" t="s">
        <v>87</v>
      </c>
      <c r="E570" s="1">
        <v>142582</v>
      </c>
      <c r="F570" s="2" t="s">
        <v>980</v>
      </c>
      <c r="G570" s="3" t="s">
        <v>13</v>
      </c>
      <c r="H570" s="1">
        <v>47</v>
      </c>
      <c r="I570" s="1">
        <v>3</v>
      </c>
      <c r="J570"/>
      <c r="K570"/>
      <c r="L570"/>
    </row>
    <row r="571" spans="1:12" x14ac:dyDescent="0.3">
      <c r="A571" s="1">
        <v>5570</v>
      </c>
      <c r="B571" s="3" t="s">
        <v>93</v>
      </c>
      <c r="C571" s="3" t="s">
        <v>39</v>
      </c>
      <c r="D571" s="3" t="s">
        <v>20</v>
      </c>
      <c r="E571" s="1">
        <v>86622</v>
      </c>
      <c r="F571" s="2" t="s">
        <v>981</v>
      </c>
      <c r="G571" s="3" t="s">
        <v>24</v>
      </c>
      <c r="H571" s="1">
        <v>41</v>
      </c>
      <c r="I571" s="1">
        <v>2</v>
      </c>
      <c r="J571"/>
      <c r="K571"/>
      <c r="L571"/>
    </row>
    <row r="572" spans="1:12" x14ac:dyDescent="0.3">
      <c r="A572" s="1">
        <v>5571</v>
      </c>
      <c r="B572" s="3" t="s">
        <v>922</v>
      </c>
      <c r="C572" s="3" t="s">
        <v>26</v>
      </c>
      <c r="D572" s="3" t="s">
        <v>52</v>
      </c>
      <c r="E572" s="1">
        <v>55936</v>
      </c>
      <c r="F572" s="2" t="s">
        <v>982</v>
      </c>
      <c r="G572" s="3" t="s">
        <v>24</v>
      </c>
      <c r="H572" s="1">
        <v>40</v>
      </c>
      <c r="I572" s="1">
        <v>4</v>
      </c>
      <c r="J572"/>
      <c r="K572"/>
      <c r="L572"/>
    </row>
    <row r="573" spans="1:12" x14ac:dyDescent="0.3">
      <c r="A573" s="1">
        <v>5572</v>
      </c>
      <c r="B573" s="3" t="s">
        <v>983</v>
      </c>
      <c r="C573" s="3" t="s">
        <v>44</v>
      </c>
      <c r="D573" s="3" t="s">
        <v>27</v>
      </c>
      <c r="E573" s="1">
        <v>71511</v>
      </c>
      <c r="F573" s="2" t="s">
        <v>984</v>
      </c>
      <c r="G573" s="3" t="s">
        <v>13</v>
      </c>
      <c r="H573" s="1">
        <v>48</v>
      </c>
      <c r="I573" s="1">
        <v>2</v>
      </c>
      <c r="J573"/>
      <c r="K573"/>
      <c r="L573"/>
    </row>
    <row r="574" spans="1:12" x14ac:dyDescent="0.3">
      <c r="A574" s="1">
        <v>5573</v>
      </c>
      <c r="B574" s="3" t="s">
        <v>985</v>
      </c>
      <c r="C574" s="3" t="s">
        <v>44</v>
      </c>
      <c r="D574" s="3" t="s">
        <v>27</v>
      </c>
      <c r="E574" s="1">
        <v>100339</v>
      </c>
      <c r="F574" s="2" t="s">
        <v>986</v>
      </c>
      <c r="G574" s="3" t="s">
        <v>24</v>
      </c>
      <c r="H574" s="1">
        <v>37</v>
      </c>
      <c r="I574" s="1">
        <v>4</v>
      </c>
      <c r="J574"/>
      <c r="K574"/>
      <c r="L574"/>
    </row>
    <row r="575" spans="1:12" x14ac:dyDescent="0.3">
      <c r="A575" s="1">
        <v>5574</v>
      </c>
      <c r="B575" s="3" t="s">
        <v>987</v>
      </c>
      <c r="C575" s="3" t="s">
        <v>10</v>
      </c>
      <c r="D575" s="3" t="s">
        <v>30</v>
      </c>
      <c r="E575" s="1">
        <v>41933</v>
      </c>
      <c r="F575" s="2" t="s">
        <v>988</v>
      </c>
      <c r="G575" s="3" t="s">
        <v>24</v>
      </c>
      <c r="H575" s="1">
        <v>28</v>
      </c>
      <c r="I575" s="1">
        <v>5</v>
      </c>
      <c r="J575"/>
      <c r="K575"/>
      <c r="L575"/>
    </row>
    <row r="576" spans="1:12" x14ac:dyDescent="0.3">
      <c r="A576" s="1">
        <v>5575</v>
      </c>
      <c r="B576" s="3" t="s">
        <v>218</v>
      </c>
      <c r="C576" s="3" t="s">
        <v>44</v>
      </c>
      <c r="D576" s="3" t="s">
        <v>87</v>
      </c>
      <c r="E576" s="1">
        <v>76100</v>
      </c>
      <c r="F576" s="2" t="s">
        <v>405</v>
      </c>
      <c r="G576" s="3" t="s">
        <v>24</v>
      </c>
      <c r="H576" s="1">
        <v>34</v>
      </c>
      <c r="I576" s="1">
        <v>1</v>
      </c>
      <c r="J576"/>
      <c r="K576"/>
      <c r="L576"/>
    </row>
    <row r="577" spans="1:12" x14ac:dyDescent="0.3">
      <c r="A577" s="1">
        <v>5576</v>
      </c>
      <c r="B577" s="3" t="s">
        <v>989</v>
      </c>
      <c r="C577" s="3" t="s">
        <v>39</v>
      </c>
      <c r="D577" s="3" t="s">
        <v>61</v>
      </c>
      <c r="E577" s="1">
        <v>107437</v>
      </c>
      <c r="F577" s="2" t="s">
        <v>772</v>
      </c>
      <c r="G577" s="3" t="s">
        <v>13</v>
      </c>
      <c r="H577" s="1">
        <v>40</v>
      </c>
      <c r="I577" s="1">
        <v>2</v>
      </c>
      <c r="J577"/>
      <c r="K577"/>
      <c r="L577"/>
    </row>
    <row r="578" spans="1:12" x14ac:dyDescent="0.3">
      <c r="A578" s="1">
        <v>5577</v>
      </c>
      <c r="B578" s="3" t="s">
        <v>1576</v>
      </c>
      <c r="C578" s="3" t="s">
        <v>35</v>
      </c>
      <c r="D578" s="3" t="s">
        <v>27</v>
      </c>
      <c r="E578" s="1">
        <v>133785</v>
      </c>
      <c r="F578" s="2" t="s">
        <v>990</v>
      </c>
      <c r="G578" s="3" t="s">
        <v>13</v>
      </c>
      <c r="H578" s="1">
        <v>47</v>
      </c>
      <c r="I578" s="1">
        <v>3</v>
      </c>
      <c r="J578"/>
      <c r="K578"/>
      <c r="L578"/>
    </row>
    <row r="579" spans="1:12" x14ac:dyDescent="0.3">
      <c r="A579" s="1">
        <v>5578</v>
      </c>
      <c r="B579" s="3" t="s">
        <v>765</v>
      </c>
      <c r="C579" s="3" t="s">
        <v>26</v>
      </c>
      <c r="D579" s="3" t="s">
        <v>61</v>
      </c>
      <c r="E579" s="1">
        <v>54908</v>
      </c>
      <c r="F579" s="2" t="s">
        <v>742</v>
      </c>
      <c r="G579" s="3" t="s">
        <v>24</v>
      </c>
      <c r="H579" s="1">
        <v>55</v>
      </c>
      <c r="I579" s="1">
        <v>3</v>
      </c>
      <c r="J579"/>
      <c r="K579"/>
      <c r="L579"/>
    </row>
    <row r="580" spans="1:12" x14ac:dyDescent="0.3">
      <c r="A580" s="1">
        <v>5579</v>
      </c>
      <c r="B580" s="3" t="s">
        <v>251</v>
      </c>
      <c r="C580" s="3" t="s">
        <v>26</v>
      </c>
      <c r="D580" s="3" t="s">
        <v>20</v>
      </c>
      <c r="E580" s="1">
        <v>73705</v>
      </c>
      <c r="F580" s="2" t="s">
        <v>775</v>
      </c>
      <c r="G580" s="3" t="s">
        <v>13</v>
      </c>
      <c r="H580" s="1">
        <v>46</v>
      </c>
      <c r="I580" s="1">
        <v>3</v>
      </c>
      <c r="J580"/>
      <c r="K580"/>
      <c r="L580"/>
    </row>
    <row r="581" spans="1:12" x14ac:dyDescent="0.3">
      <c r="A581" s="1">
        <v>5580</v>
      </c>
      <c r="B581" s="3" t="s">
        <v>991</v>
      </c>
      <c r="C581" s="3" t="s">
        <v>44</v>
      </c>
      <c r="D581" s="3" t="s">
        <v>52</v>
      </c>
      <c r="E581" s="1">
        <v>90104</v>
      </c>
      <c r="F581" s="2" t="s">
        <v>992</v>
      </c>
      <c r="G581" s="3" t="s">
        <v>13</v>
      </c>
      <c r="H581" s="1">
        <v>39</v>
      </c>
      <c r="I581" s="1">
        <v>1</v>
      </c>
      <c r="J581"/>
      <c r="K581"/>
      <c r="L581"/>
    </row>
    <row r="582" spans="1:12" x14ac:dyDescent="0.3">
      <c r="A582" s="1">
        <v>5581</v>
      </c>
      <c r="B582" s="3" t="s">
        <v>1577</v>
      </c>
      <c r="C582" s="3" t="s">
        <v>44</v>
      </c>
      <c r="D582" s="3" t="s">
        <v>27</v>
      </c>
      <c r="E582" s="1">
        <v>52997</v>
      </c>
      <c r="F582" s="2" t="s">
        <v>993</v>
      </c>
      <c r="G582" s="3" t="s">
        <v>24</v>
      </c>
      <c r="H582" s="1">
        <v>51</v>
      </c>
      <c r="I582" s="1">
        <v>2</v>
      </c>
      <c r="J582"/>
      <c r="K582"/>
      <c r="L582"/>
    </row>
    <row r="583" spans="1:12" x14ac:dyDescent="0.3">
      <c r="A583" s="1">
        <v>5582</v>
      </c>
      <c r="B583" s="3" t="s">
        <v>994</v>
      </c>
      <c r="C583" s="3" t="s">
        <v>26</v>
      </c>
      <c r="D583" s="3" t="s">
        <v>20</v>
      </c>
      <c r="E583" s="1">
        <v>47374</v>
      </c>
      <c r="F583" s="2" t="s">
        <v>995</v>
      </c>
      <c r="G583" s="3" t="s">
        <v>24</v>
      </c>
      <c r="H583" s="1">
        <v>44</v>
      </c>
      <c r="I583" s="1">
        <v>2</v>
      </c>
      <c r="J583"/>
      <c r="K583"/>
      <c r="L583"/>
    </row>
    <row r="584" spans="1:12" x14ac:dyDescent="0.3">
      <c r="A584" s="1">
        <v>5583</v>
      </c>
      <c r="B584" s="3" t="s">
        <v>996</v>
      </c>
      <c r="C584" s="3" t="s">
        <v>70</v>
      </c>
      <c r="D584" s="3" t="s">
        <v>36</v>
      </c>
      <c r="E584" s="1">
        <v>74339</v>
      </c>
      <c r="F584" s="2" t="s">
        <v>997</v>
      </c>
      <c r="G584" s="3" t="s">
        <v>13</v>
      </c>
      <c r="H584" s="1">
        <v>30</v>
      </c>
      <c r="I584" s="1">
        <v>1</v>
      </c>
      <c r="J584"/>
      <c r="K584"/>
      <c r="L584"/>
    </row>
    <row r="585" spans="1:12" x14ac:dyDescent="0.3">
      <c r="A585" s="1">
        <v>5584</v>
      </c>
      <c r="B585" s="3" t="s">
        <v>998</v>
      </c>
      <c r="C585" s="3" t="s">
        <v>10</v>
      </c>
      <c r="D585" s="3" t="s">
        <v>52</v>
      </c>
      <c r="E585" s="1">
        <v>123914</v>
      </c>
      <c r="F585" s="2" t="s">
        <v>999</v>
      </c>
      <c r="G585" s="3" t="s">
        <v>24</v>
      </c>
      <c r="H585" s="1">
        <v>41</v>
      </c>
      <c r="I585" s="1">
        <v>1</v>
      </c>
      <c r="J585"/>
      <c r="K585"/>
      <c r="L585"/>
    </row>
    <row r="586" spans="1:12" x14ac:dyDescent="0.3">
      <c r="A586" s="1">
        <v>5585</v>
      </c>
      <c r="B586" s="3" t="s">
        <v>1000</v>
      </c>
      <c r="C586" s="3" t="s">
        <v>10</v>
      </c>
      <c r="D586" s="3" t="s">
        <v>52</v>
      </c>
      <c r="E586" s="1">
        <v>65605</v>
      </c>
      <c r="F586" s="2" t="s">
        <v>1001</v>
      </c>
      <c r="G586" s="3" t="s">
        <v>13</v>
      </c>
      <c r="H586" s="1">
        <v>34</v>
      </c>
      <c r="I586" s="1">
        <v>2</v>
      </c>
      <c r="J586"/>
      <c r="K586"/>
      <c r="L586"/>
    </row>
    <row r="587" spans="1:12" x14ac:dyDescent="0.3">
      <c r="A587" s="1">
        <v>5586</v>
      </c>
      <c r="B587" s="3" t="s">
        <v>1002</v>
      </c>
      <c r="C587" s="3" t="s">
        <v>44</v>
      </c>
      <c r="D587" s="3" t="s">
        <v>30</v>
      </c>
      <c r="E587" s="1">
        <v>82449</v>
      </c>
      <c r="F587" s="2" t="s">
        <v>261</v>
      </c>
      <c r="G587" s="3" t="s">
        <v>13</v>
      </c>
      <c r="H587" s="1">
        <v>33</v>
      </c>
      <c r="I587" s="1">
        <v>1</v>
      </c>
      <c r="J587"/>
      <c r="K587"/>
      <c r="L587"/>
    </row>
    <row r="588" spans="1:12" x14ac:dyDescent="0.3">
      <c r="A588" s="1">
        <v>5587</v>
      </c>
      <c r="B588" s="3" t="s">
        <v>1003</v>
      </c>
      <c r="C588" s="3" t="s">
        <v>44</v>
      </c>
      <c r="D588" s="3" t="s">
        <v>11</v>
      </c>
      <c r="E588" s="1">
        <v>31169</v>
      </c>
      <c r="F588" s="2" t="s">
        <v>84</v>
      </c>
      <c r="G588" s="3" t="s">
        <v>24</v>
      </c>
      <c r="H588" s="1">
        <v>55</v>
      </c>
      <c r="I588" s="1">
        <v>2</v>
      </c>
      <c r="J588"/>
      <c r="K588"/>
      <c r="L588"/>
    </row>
    <row r="589" spans="1:12" x14ac:dyDescent="0.3">
      <c r="A589" s="1">
        <v>5588</v>
      </c>
      <c r="B589" s="3" t="s">
        <v>1004</v>
      </c>
      <c r="C589" s="3" t="s">
        <v>15</v>
      </c>
      <c r="D589" s="3" t="s">
        <v>61</v>
      </c>
      <c r="E589" s="1">
        <v>87520</v>
      </c>
      <c r="F589" s="2" t="s">
        <v>1005</v>
      </c>
      <c r="G589" s="3" t="s">
        <v>24</v>
      </c>
      <c r="H589" s="1">
        <v>25</v>
      </c>
      <c r="I589" s="1">
        <v>4</v>
      </c>
      <c r="J589"/>
      <c r="K589"/>
      <c r="L589"/>
    </row>
    <row r="590" spans="1:12" x14ac:dyDescent="0.3">
      <c r="A590" s="1">
        <v>5589</v>
      </c>
      <c r="B590" s="3" t="s">
        <v>1006</v>
      </c>
      <c r="C590" s="3" t="s">
        <v>19</v>
      </c>
      <c r="D590" s="3" t="s">
        <v>27</v>
      </c>
      <c r="E590" s="1">
        <v>124830</v>
      </c>
      <c r="F590" s="2" t="s">
        <v>636</v>
      </c>
      <c r="G590" s="3" t="s">
        <v>13</v>
      </c>
      <c r="H590" s="1">
        <v>46</v>
      </c>
      <c r="I590" s="1">
        <v>2</v>
      </c>
      <c r="J590"/>
      <c r="K590"/>
      <c r="L590"/>
    </row>
    <row r="591" spans="1:12" x14ac:dyDescent="0.3">
      <c r="A591" s="1">
        <v>5590</v>
      </c>
      <c r="B591" s="3" t="s">
        <v>1007</v>
      </c>
      <c r="C591" s="3" t="s">
        <v>26</v>
      </c>
      <c r="D591" s="3" t="s">
        <v>52</v>
      </c>
      <c r="E591" s="1">
        <v>48880</v>
      </c>
      <c r="F591" s="2" t="s">
        <v>1008</v>
      </c>
      <c r="G591" s="3" t="s">
        <v>13</v>
      </c>
      <c r="H591" s="1">
        <v>39</v>
      </c>
      <c r="I591" s="1">
        <v>3</v>
      </c>
      <c r="J591"/>
      <c r="K591"/>
      <c r="L591"/>
    </row>
    <row r="592" spans="1:12" x14ac:dyDescent="0.3">
      <c r="A592" s="1">
        <v>5591</v>
      </c>
      <c r="B592" s="3" t="s">
        <v>534</v>
      </c>
      <c r="C592" s="3" t="s">
        <v>63</v>
      </c>
      <c r="D592" s="3" t="s">
        <v>87</v>
      </c>
      <c r="E592" s="1">
        <v>62365</v>
      </c>
      <c r="F592" s="2" t="s">
        <v>1009</v>
      </c>
      <c r="G592" s="3" t="s">
        <v>13</v>
      </c>
      <c r="H592" s="1">
        <v>54</v>
      </c>
      <c r="I592" s="1">
        <v>1</v>
      </c>
      <c r="J592"/>
      <c r="K592"/>
      <c r="L592"/>
    </row>
    <row r="593" spans="1:12" x14ac:dyDescent="0.3">
      <c r="A593" s="1">
        <v>5592</v>
      </c>
      <c r="B593" s="3" t="s">
        <v>1578</v>
      </c>
      <c r="C593" s="3" t="s">
        <v>63</v>
      </c>
      <c r="D593" s="3" t="s">
        <v>16</v>
      </c>
      <c r="E593" s="1">
        <v>144610</v>
      </c>
      <c r="F593" s="2" t="s">
        <v>1010</v>
      </c>
      <c r="G593" s="3" t="s">
        <v>24</v>
      </c>
      <c r="H593" s="1">
        <v>51</v>
      </c>
      <c r="I593" s="1">
        <v>4</v>
      </c>
      <c r="J593"/>
      <c r="K593"/>
      <c r="L593"/>
    </row>
    <row r="594" spans="1:12" x14ac:dyDescent="0.3">
      <c r="A594" s="1">
        <v>5593</v>
      </c>
      <c r="B594" s="3" t="s">
        <v>1011</v>
      </c>
      <c r="C594" s="3" t="s">
        <v>79</v>
      </c>
      <c r="D594" s="3" t="s">
        <v>49</v>
      </c>
      <c r="E594" s="1">
        <v>46536</v>
      </c>
      <c r="F594" s="2" t="s">
        <v>1012</v>
      </c>
      <c r="G594" s="3" t="s">
        <v>24</v>
      </c>
      <c r="H594" s="1">
        <v>22</v>
      </c>
      <c r="I594" s="1">
        <v>4</v>
      </c>
      <c r="J594"/>
      <c r="K594"/>
      <c r="L594"/>
    </row>
    <row r="595" spans="1:12" x14ac:dyDescent="0.3">
      <c r="A595" s="1">
        <v>5594</v>
      </c>
      <c r="B595" s="3" t="s">
        <v>1013</v>
      </c>
      <c r="C595" s="3" t="s">
        <v>19</v>
      </c>
      <c r="D595" s="3" t="s">
        <v>49</v>
      </c>
      <c r="E595" s="1">
        <v>42744</v>
      </c>
      <c r="F595" s="2" t="s">
        <v>315</v>
      </c>
      <c r="G595" s="3" t="s">
        <v>24</v>
      </c>
      <c r="H595" s="1">
        <v>39</v>
      </c>
      <c r="I595" s="1">
        <v>3</v>
      </c>
      <c r="J595"/>
      <c r="K595"/>
      <c r="L595"/>
    </row>
    <row r="596" spans="1:12" x14ac:dyDescent="0.3">
      <c r="A596" s="1">
        <v>5595</v>
      </c>
      <c r="B596" s="3" t="s">
        <v>955</v>
      </c>
      <c r="C596" s="3" t="s">
        <v>19</v>
      </c>
      <c r="D596" s="3" t="s">
        <v>16</v>
      </c>
      <c r="E596" s="1">
        <v>82857</v>
      </c>
      <c r="F596" s="2" t="s">
        <v>1014</v>
      </c>
      <c r="G596" s="3" t="s">
        <v>24</v>
      </c>
      <c r="H596" s="1">
        <v>30</v>
      </c>
      <c r="I596" s="1">
        <v>4</v>
      </c>
      <c r="J596"/>
      <c r="K596"/>
      <c r="L596"/>
    </row>
    <row r="597" spans="1:12" x14ac:dyDescent="0.3">
      <c r="A597" s="1">
        <v>5596</v>
      </c>
      <c r="B597" s="3" t="s">
        <v>264</v>
      </c>
      <c r="C597" s="3" t="s">
        <v>35</v>
      </c>
      <c r="D597" s="3" t="s">
        <v>20</v>
      </c>
      <c r="E597" s="1">
        <v>94501</v>
      </c>
      <c r="F597" s="2" t="s">
        <v>1015</v>
      </c>
      <c r="G597" s="3" t="s">
        <v>24</v>
      </c>
      <c r="H597" s="1">
        <v>31</v>
      </c>
      <c r="I597" s="1">
        <v>3</v>
      </c>
      <c r="J597"/>
      <c r="K597"/>
      <c r="L597"/>
    </row>
    <row r="598" spans="1:12" x14ac:dyDescent="0.3">
      <c r="A598" s="1">
        <v>5597</v>
      </c>
      <c r="B598" s="3" t="s">
        <v>1016</v>
      </c>
      <c r="C598" s="3" t="s">
        <v>35</v>
      </c>
      <c r="D598" s="3" t="s">
        <v>36</v>
      </c>
      <c r="E598" s="1">
        <v>140701</v>
      </c>
      <c r="F598" s="2" t="s">
        <v>1017</v>
      </c>
      <c r="G598" s="3" t="s">
        <v>13</v>
      </c>
      <c r="H598" s="1">
        <v>49</v>
      </c>
      <c r="I598" s="1">
        <v>3</v>
      </c>
      <c r="J598"/>
      <c r="K598"/>
      <c r="L598"/>
    </row>
    <row r="599" spans="1:12" x14ac:dyDescent="0.3">
      <c r="A599" s="1">
        <v>5598</v>
      </c>
      <c r="B599" s="3" t="s">
        <v>482</v>
      </c>
      <c r="C599" s="3" t="s">
        <v>10</v>
      </c>
      <c r="D599" s="3" t="s">
        <v>61</v>
      </c>
      <c r="E599" s="1">
        <v>139276</v>
      </c>
      <c r="F599" s="2" t="s">
        <v>1018</v>
      </c>
      <c r="G599" s="3" t="s">
        <v>24</v>
      </c>
      <c r="H599" s="1">
        <v>55</v>
      </c>
      <c r="I599" s="1">
        <v>4</v>
      </c>
      <c r="J599"/>
      <c r="K599"/>
      <c r="L599"/>
    </row>
    <row r="600" spans="1:12" x14ac:dyDescent="0.3">
      <c r="A600" s="1">
        <v>5599</v>
      </c>
      <c r="B600" s="3" t="s">
        <v>1019</v>
      </c>
      <c r="C600" s="3" t="s">
        <v>15</v>
      </c>
      <c r="D600" s="3" t="s">
        <v>36</v>
      </c>
      <c r="E600" s="1">
        <v>29447</v>
      </c>
      <c r="F600" s="2" t="s">
        <v>1020</v>
      </c>
      <c r="G600" s="3" t="s">
        <v>24</v>
      </c>
      <c r="H600" s="1">
        <v>42</v>
      </c>
      <c r="I600" s="1">
        <v>4</v>
      </c>
      <c r="J600"/>
      <c r="K600"/>
      <c r="L600"/>
    </row>
    <row r="601" spans="1:12" x14ac:dyDescent="0.3">
      <c r="A601" s="1">
        <v>5600</v>
      </c>
      <c r="B601" s="3" t="s">
        <v>937</v>
      </c>
      <c r="C601" s="3" t="s">
        <v>79</v>
      </c>
      <c r="D601" s="3" t="s">
        <v>16</v>
      </c>
      <c r="E601" s="1">
        <v>114089</v>
      </c>
      <c r="F601" s="2" t="s">
        <v>1021</v>
      </c>
      <c r="G601" s="3" t="s">
        <v>24</v>
      </c>
      <c r="H601" s="1">
        <v>30</v>
      </c>
      <c r="I601" s="1">
        <v>5</v>
      </c>
      <c r="J601"/>
      <c r="K601"/>
      <c r="L601"/>
    </row>
    <row r="602" spans="1:12" x14ac:dyDescent="0.3">
      <c r="A602" s="1">
        <v>5601</v>
      </c>
      <c r="B602" s="3" t="s">
        <v>258</v>
      </c>
      <c r="C602" s="3" t="s">
        <v>70</v>
      </c>
      <c r="D602" s="3" t="s">
        <v>27</v>
      </c>
      <c r="E602" s="1">
        <v>46776</v>
      </c>
      <c r="F602" s="2" t="s">
        <v>1022</v>
      </c>
      <c r="G602" s="3" t="s">
        <v>24</v>
      </c>
      <c r="H602" s="1">
        <v>48</v>
      </c>
      <c r="I602" s="1">
        <v>3</v>
      </c>
      <c r="J602"/>
      <c r="K602"/>
      <c r="L602"/>
    </row>
    <row r="603" spans="1:12" x14ac:dyDescent="0.3">
      <c r="A603" s="1">
        <v>5602</v>
      </c>
      <c r="B603" s="3" t="s">
        <v>1023</v>
      </c>
      <c r="C603" s="3" t="s">
        <v>19</v>
      </c>
      <c r="D603" s="3" t="s">
        <v>52</v>
      </c>
      <c r="E603" s="1">
        <v>43309</v>
      </c>
      <c r="F603" s="2" t="s">
        <v>1024</v>
      </c>
      <c r="G603" s="3" t="s">
        <v>13</v>
      </c>
      <c r="H603" s="1">
        <v>41</v>
      </c>
      <c r="I603" s="1">
        <v>5</v>
      </c>
      <c r="J603"/>
      <c r="K603"/>
      <c r="L603"/>
    </row>
    <row r="604" spans="1:12" x14ac:dyDescent="0.3">
      <c r="A604" s="1">
        <v>5603</v>
      </c>
      <c r="B604" s="3" t="s">
        <v>1025</v>
      </c>
      <c r="C604" s="3" t="s">
        <v>35</v>
      </c>
      <c r="D604" s="3" t="s">
        <v>30</v>
      </c>
      <c r="E604" s="1">
        <v>90724</v>
      </c>
      <c r="F604" s="2" t="s">
        <v>1026</v>
      </c>
      <c r="G604" s="3" t="s">
        <v>24</v>
      </c>
      <c r="H604" s="1">
        <v>45</v>
      </c>
      <c r="I604" s="1">
        <v>2</v>
      </c>
      <c r="J604"/>
      <c r="K604"/>
      <c r="L604"/>
    </row>
    <row r="605" spans="1:12" x14ac:dyDescent="0.3">
      <c r="A605" s="1">
        <v>5604</v>
      </c>
      <c r="B605" s="3" t="s">
        <v>1027</v>
      </c>
      <c r="C605" s="3" t="s">
        <v>79</v>
      </c>
      <c r="D605" s="3" t="s">
        <v>36</v>
      </c>
      <c r="E605" s="1">
        <v>42613</v>
      </c>
      <c r="F605" s="2" t="s">
        <v>1028</v>
      </c>
      <c r="G605" s="3" t="s">
        <v>24</v>
      </c>
      <c r="H605" s="1">
        <v>37</v>
      </c>
      <c r="I605" s="1">
        <v>5</v>
      </c>
      <c r="J605"/>
      <c r="K605"/>
      <c r="L605"/>
    </row>
    <row r="606" spans="1:12" x14ac:dyDescent="0.3">
      <c r="A606" s="1">
        <v>5605</v>
      </c>
      <c r="B606" s="3" t="s">
        <v>181</v>
      </c>
      <c r="C606" s="3" t="s">
        <v>63</v>
      </c>
      <c r="D606" s="3" t="s">
        <v>27</v>
      </c>
      <c r="E606" s="1">
        <v>138004</v>
      </c>
      <c r="F606" s="2" t="s">
        <v>1029</v>
      </c>
      <c r="G606" s="3" t="s">
        <v>13</v>
      </c>
      <c r="H606" s="1">
        <v>42</v>
      </c>
      <c r="I606" s="1">
        <v>2</v>
      </c>
      <c r="J606"/>
      <c r="K606"/>
      <c r="L606"/>
    </row>
    <row r="607" spans="1:12" x14ac:dyDescent="0.3">
      <c r="A607" s="1">
        <v>5606</v>
      </c>
      <c r="B607" s="3" t="s">
        <v>1030</v>
      </c>
      <c r="C607" s="3" t="s">
        <v>19</v>
      </c>
      <c r="D607" s="3" t="s">
        <v>61</v>
      </c>
      <c r="E607" s="1">
        <v>139058</v>
      </c>
      <c r="F607" s="2" t="s">
        <v>1031</v>
      </c>
      <c r="G607" s="3" t="s">
        <v>13</v>
      </c>
      <c r="H607" s="1">
        <v>25</v>
      </c>
      <c r="I607" s="1">
        <v>3</v>
      </c>
      <c r="J607"/>
      <c r="K607"/>
      <c r="L607"/>
    </row>
    <row r="608" spans="1:12" x14ac:dyDescent="0.3">
      <c r="A608" s="1">
        <v>5607</v>
      </c>
      <c r="B608" s="3" t="s">
        <v>1032</v>
      </c>
      <c r="C608" s="3" t="s">
        <v>44</v>
      </c>
      <c r="D608" s="3" t="s">
        <v>49</v>
      </c>
      <c r="E608" s="1">
        <v>129969</v>
      </c>
      <c r="F608" s="2" t="s">
        <v>1033</v>
      </c>
      <c r="G608" s="3" t="s">
        <v>13</v>
      </c>
      <c r="H608" s="1">
        <v>36</v>
      </c>
      <c r="I608" s="1">
        <v>2</v>
      </c>
      <c r="J608"/>
      <c r="K608"/>
      <c r="L608"/>
    </row>
    <row r="609" spans="1:12" x14ac:dyDescent="0.3">
      <c r="A609" s="1">
        <v>5608</v>
      </c>
      <c r="B609" s="3" t="s">
        <v>1034</v>
      </c>
      <c r="C609" s="3" t="s">
        <v>19</v>
      </c>
      <c r="D609" s="3" t="s">
        <v>11</v>
      </c>
      <c r="E609" s="1">
        <v>135797</v>
      </c>
      <c r="F609" s="2" t="s">
        <v>1035</v>
      </c>
      <c r="G609" s="3" t="s">
        <v>24</v>
      </c>
      <c r="H609" s="1">
        <v>52</v>
      </c>
      <c r="I609" s="1">
        <v>3</v>
      </c>
      <c r="J609"/>
      <c r="K609"/>
      <c r="L609"/>
    </row>
    <row r="610" spans="1:12" x14ac:dyDescent="0.3">
      <c r="A610" s="1">
        <v>5609</v>
      </c>
      <c r="B610" s="3" t="s">
        <v>366</v>
      </c>
      <c r="C610" s="3" t="s">
        <v>39</v>
      </c>
      <c r="D610" s="3" t="s">
        <v>27</v>
      </c>
      <c r="E610" s="1">
        <v>87520</v>
      </c>
      <c r="F610" s="2" t="s">
        <v>1036</v>
      </c>
      <c r="G610" s="3" t="s">
        <v>13</v>
      </c>
      <c r="H610" s="1">
        <v>38</v>
      </c>
      <c r="I610" s="1">
        <v>2</v>
      </c>
      <c r="J610"/>
      <c r="K610"/>
      <c r="L610"/>
    </row>
    <row r="611" spans="1:12" x14ac:dyDescent="0.3">
      <c r="A611" s="1">
        <v>5610</v>
      </c>
      <c r="B611" s="3" t="s">
        <v>100</v>
      </c>
      <c r="C611" s="3" t="s">
        <v>19</v>
      </c>
      <c r="D611" s="3" t="s">
        <v>20</v>
      </c>
      <c r="E611" s="1">
        <v>28800</v>
      </c>
      <c r="F611" s="2" t="s">
        <v>1037</v>
      </c>
      <c r="G611" s="3" t="s">
        <v>24</v>
      </c>
      <c r="H611" s="1">
        <v>21</v>
      </c>
      <c r="I611" s="1">
        <v>3</v>
      </c>
      <c r="J611"/>
      <c r="K611"/>
      <c r="L611"/>
    </row>
    <row r="612" spans="1:12" x14ac:dyDescent="0.3">
      <c r="A612" s="1">
        <v>5611</v>
      </c>
      <c r="B612" s="3" t="s">
        <v>1038</v>
      </c>
      <c r="C612" s="3" t="s">
        <v>44</v>
      </c>
      <c r="D612" s="3" t="s">
        <v>20</v>
      </c>
      <c r="E612" s="1">
        <v>38731</v>
      </c>
      <c r="F612" s="2" t="s">
        <v>135</v>
      </c>
      <c r="G612" s="3" t="s">
        <v>24</v>
      </c>
      <c r="H612" s="1">
        <v>35</v>
      </c>
      <c r="I612" s="1">
        <v>3</v>
      </c>
      <c r="J612"/>
      <c r="K612"/>
      <c r="L612"/>
    </row>
    <row r="613" spans="1:12" x14ac:dyDescent="0.3">
      <c r="A613" s="1">
        <v>5612</v>
      </c>
      <c r="B613" s="3" t="s">
        <v>1039</v>
      </c>
      <c r="C613" s="3" t="s">
        <v>63</v>
      </c>
      <c r="D613" s="3" t="s">
        <v>11</v>
      </c>
      <c r="E613" s="1">
        <v>138883</v>
      </c>
      <c r="F613" s="2" t="s">
        <v>1040</v>
      </c>
      <c r="G613" s="3" t="s">
        <v>13</v>
      </c>
      <c r="H613" s="1">
        <v>44</v>
      </c>
      <c r="I613" s="1">
        <v>1</v>
      </c>
      <c r="J613"/>
      <c r="K613"/>
      <c r="L613"/>
    </row>
    <row r="614" spans="1:12" x14ac:dyDescent="0.3">
      <c r="A614" s="1">
        <v>5613</v>
      </c>
      <c r="B614" s="3" t="s">
        <v>1041</v>
      </c>
      <c r="C614" s="3" t="s">
        <v>39</v>
      </c>
      <c r="D614" s="3" t="s">
        <v>36</v>
      </c>
      <c r="E614" s="1">
        <v>141955</v>
      </c>
      <c r="F614" s="2" t="s">
        <v>330</v>
      </c>
      <c r="G614" s="3" t="s">
        <v>24</v>
      </c>
      <c r="H614" s="1">
        <v>45</v>
      </c>
      <c r="I614" s="1">
        <v>4</v>
      </c>
      <c r="J614"/>
      <c r="K614"/>
      <c r="L614"/>
    </row>
    <row r="615" spans="1:12" x14ac:dyDescent="0.3">
      <c r="A615" s="1">
        <v>5614</v>
      </c>
      <c r="B615" s="3" t="s">
        <v>218</v>
      </c>
      <c r="C615" s="3" t="s">
        <v>79</v>
      </c>
      <c r="D615" s="3" t="s">
        <v>49</v>
      </c>
      <c r="E615" s="1">
        <v>100039</v>
      </c>
      <c r="F615" s="2" t="s">
        <v>1042</v>
      </c>
      <c r="G615" s="3" t="s">
        <v>24</v>
      </c>
      <c r="H615" s="1">
        <v>30</v>
      </c>
      <c r="I615" s="1">
        <v>4</v>
      </c>
      <c r="J615"/>
      <c r="K615"/>
      <c r="L615"/>
    </row>
    <row r="616" spans="1:12" x14ac:dyDescent="0.3">
      <c r="A616" s="1">
        <v>5615</v>
      </c>
      <c r="B616" s="3" t="s">
        <v>863</v>
      </c>
      <c r="C616" s="3" t="s">
        <v>10</v>
      </c>
      <c r="D616" s="3" t="s">
        <v>36</v>
      </c>
      <c r="E616" s="1">
        <v>148653</v>
      </c>
      <c r="F616" s="2" t="s">
        <v>1043</v>
      </c>
      <c r="G616" s="3" t="s">
        <v>13</v>
      </c>
      <c r="H616" s="1">
        <v>22</v>
      </c>
      <c r="I616" s="1">
        <v>3</v>
      </c>
      <c r="J616"/>
      <c r="K616"/>
      <c r="L616"/>
    </row>
    <row r="617" spans="1:12" x14ac:dyDescent="0.3">
      <c r="A617" s="1">
        <v>5616</v>
      </c>
      <c r="B617" s="3" t="s">
        <v>1044</v>
      </c>
      <c r="C617" s="3" t="s">
        <v>26</v>
      </c>
      <c r="D617" s="3" t="s">
        <v>52</v>
      </c>
      <c r="E617" s="1">
        <v>124638</v>
      </c>
      <c r="F617" s="2" t="s">
        <v>588</v>
      </c>
      <c r="G617" s="3" t="s">
        <v>24</v>
      </c>
      <c r="H617" s="1">
        <v>39</v>
      </c>
      <c r="I617" s="1">
        <v>3</v>
      </c>
      <c r="J617"/>
      <c r="K617"/>
      <c r="L617"/>
    </row>
    <row r="618" spans="1:12" x14ac:dyDescent="0.3">
      <c r="A618" s="1">
        <v>5617</v>
      </c>
      <c r="B618" s="3" t="s">
        <v>29</v>
      </c>
      <c r="C618" s="3" t="s">
        <v>79</v>
      </c>
      <c r="D618" s="3" t="s">
        <v>36</v>
      </c>
      <c r="E618" s="1">
        <v>136400</v>
      </c>
      <c r="F618" s="2" t="s">
        <v>1045</v>
      </c>
      <c r="G618" s="3" t="s">
        <v>24</v>
      </c>
      <c r="H618" s="1">
        <v>48</v>
      </c>
      <c r="I618" s="1">
        <v>2</v>
      </c>
      <c r="J618"/>
      <c r="K618"/>
      <c r="L618"/>
    </row>
    <row r="619" spans="1:12" x14ac:dyDescent="0.3">
      <c r="A619" s="1">
        <v>5618</v>
      </c>
      <c r="B619" s="3" t="s">
        <v>741</v>
      </c>
      <c r="C619" s="3" t="s">
        <v>39</v>
      </c>
      <c r="D619" s="3" t="s">
        <v>27</v>
      </c>
      <c r="E619" s="1">
        <v>107322</v>
      </c>
      <c r="F619" s="2" t="s">
        <v>1046</v>
      </c>
      <c r="G619" s="3" t="s">
        <v>13</v>
      </c>
      <c r="H619" s="1">
        <v>32</v>
      </c>
      <c r="I619" s="1">
        <v>5</v>
      </c>
      <c r="J619"/>
      <c r="K619"/>
      <c r="L619"/>
    </row>
    <row r="620" spans="1:12" x14ac:dyDescent="0.3">
      <c r="A620" s="1">
        <v>5619</v>
      </c>
      <c r="B620" s="3" t="s">
        <v>1579</v>
      </c>
      <c r="C620" s="3" t="s">
        <v>39</v>
      </c>
      <c r="D620" s="3" t="s">
        <v>87</v>
      </c>
      <c r="E620" s="1">
        <v>87520</v>
      </c>
      <c r="F620" s="2" t="s">
        <v>1047</v>
      </c>
      <c r="G620" s="3" t="s">
        <v>24</v>
      </c>
      <c r="H620" s="1">
        <v>38</v>
      </c>
      <c r="I620" s="1">
        <v>1</v>
      </c>
      <c r="J620"/>
      <c r="K620"/>
      <c r="L620"/>
    </row>
    <row r="621" spans="1:12" x14ac:dyDescent="0.3">
      <c r="A621" s="1">
        <v>5620</v>
      </c>
      <c r="B621" s="3" t="s">
        <v>1048</v>
      </c>
      <c r="C621" s="3" t="s">
        <v>19</v>
      </c>
      <c r="D621" s="3" t="s">
        <v>27</v>
      </c>
      <c r="E621" s="1">
        <v>148319</v>
      </c>
      <c r="F621" s="2" t="s">
        <v>1049</v>
      </c>
      <c r="G621" s="3" t="s">
        <v>24</v>
      </c>
      <c r="H621" s="1">
        <v>40</v>
      </c>
      <c r="I621" s="1">
        <v>2</v>
      </c>
      <c r="J621"/>
      <c r="K621"/>
      <c r="L621"/>
    </row>
    <row r="622" spans="1:12" x14ac:dyDescent="0.3">
      <c r="A622" s="1">
        <v>5621</v>
      </c>
      <c r="B622" s="3" t="s">
        <v>1050</v>
      </c>
      <c r="C622" s="3" t="s">
        <v>35</v>
      </c>
      <c r="D622" s="3" t="s">
        <v>36</v>
      </c>
      <c r="E622" s="1">
        <v>98259</v>
      </c>
      <c r="F622" s="2" t="s">
        <v>1051</v>
      </c>
      <c r="G622" s="3" t="s">
        <v>13</v>
      </c>
      <c r="H622" s="1">
        <v>43</v>
      </c>
      <c r="I622" s="1">
        <v>1</v>
      </c>
      <c r="J622"/>
      <c r="K622"/>
      <c r="L622"/>
    </row>
    <row r="623" spans="1:12" x14ac:dyDescent="0.3">
      <c r="A623" s="1">
        <v>5622</v>
      </c>
      <c r="B623" s="3" t="s">
        <v>614</v>
      </c>
      <c r="C623" s="3" t="s">
        <v>19</v>
      </c>
      <c r="D623" s="3" t="s">
        <v>27</v>
      </c>
      <c r="E623" s="1">
        <v>138791</v>
      </c>
      <c r="F623" s="2" t="s">
        <v>1052</v>
      </c>
      <c r="G623" s="3" t="s">
        <v>13</v>
      </c>
      <c r="H623" s="1">
        <v>55</v>
      </c>
      <c r="I623" s="1">
        <v>1</v>
      </c>
      <c r="J623"/>
      <c r="K623"/>
      <c r="L623"/>
    </row>
    <row r="624" spans="1:12" x14ac:dyDescent="0.3">
      <c r="A624" s="1">
        <v>5623</v>
      </c>
      <c r="B624" s="3" t="s">
        <v>1053</v>
      </c>
      <c r="C624" s="3" t="s">
        <v>19</v>
      </c>
      <c r="D624" s="3" t="s">
        <v>87</v>
      </c>
      <c r="E624" s="1">
        <v>119531</v>
      </c>
      <c r="F624" s="2" t="s">
        <v>938</v>
      </c>
      <c r="G624" s="3" t="s">
        <v>24</v>
      </c>
      <c r="H624" s="1">
        <v>28</v>
      </c>
      <c r="I624" s="1">
        <v>1</v>
      </c>
      <c r="J624"/>
      <c r="K624"/>
      <c r="L624"/>
    </row>
    <row r="625" spans="1:12" x14ac:dyDescent="0.3">
      <c r="A625" s="1">
        <v>5624</v>
      </c>
      <c r="B625" s="3" t="s">
        <v>1054</v>
      </c>
      <c r="C625" s="3" t="s">
        <v>10</v>
      </c>
      <c r="D625" s="3" t="s">
        <v>16</v>
      </c>
      <c r="E625" s="1">
        <v>78414</v>
      </c>
      <c r="F625" s="2" t="s">
        <v>1055</v>
      </c>
      <c r="G625" s="3" t="s">
        <v>13</v>
      </c>
      <c r="H625" s="1">
        <v>33</v>
      </c>
      <c r="I625" s="1">
        <v>1</v>
      </c>
      <c r="J625"/>
      <c r="K625"/>
      <c r="L625"/>
    </row>
    <row r="626" spans="1:12" x14ac:dyDescent="0.3">
      <c r="A626" s="1">
        <v>5625</v>
      </c>
      <c r="B626" s="3" t="s">
        <v>1056</v>
      </c>
      <c r="C626" s="3" t="s">
        <v>19</v>
      </c>
      <c r="D626" s="3" t="s">
        <v>52</v>
      </c>
      <c r="E626" s="1">
        <v>51877</v>
      </c>
      <c r="F626" s="2" t="s">
        <v>1057</v>
      </c>
      <c r="G626" s="3" t="s">
        <v>13</v>
      </c>
      <c r="H626" s="1">
        <v>21</v>
      </c>
      <c r="I626" s="1">
        <v>4</v>
      </c>
      <c r="J626"/>
      <c r="K626"/>
      <c r="L626"/>
    </row>
    <row r="627" spans="1:12" x14ac:dyDescent="0.3">
      <c r="A627" s="1">
        <v>5626</v>
      </c>
      <c r="B627" s="3" t="s">
        <v>1058</v>
      </c>
      <c r="C627" s="3" t="s">
        <v>10</v>
      </c>
      <c r="D627" s="3" t="s">
        <v>36</v>
      </c>
      <c r="E627" s="1">
        <v>90810</v>
      </c>
      <c r="F627" s="2" t="s">
        <v>1059</v>
      </c>
      <c r="G627" s="3" t="s">
        <v>24</v>
      </c>
      <c r="H627" s="1">
        <v>32</v>
      </c>
      <c r="I627" s="1">
        <v>2</v>
      </c>
      <c r="J627"/>
      <c r="K627"/>
      <c r="L627"/>
    </row>
    <row r="628" spans="1:12" x14ac:dyDescent="0.3">
      <c r="A628" s="1">
        <v>5627</v>
      </c>
      <c r="B628" s="3" t="s">
        <v>919</v>
      </c>
      <c r="C628" s="3" t="s">
        <v>63</v>
      </c>
      <c r="D628" s="3" t="s">
        <v>30</v>
      </c>
      <c r="E628" s="1">
        <v>46774</v>
      </c>
      <c r="F628" s="2" t="s">
        <v>1060</v>
      </c>
      <c r="G628" s="3" t="s">
        <v>24</v>
      </c>
      <c r="H628" s="1">
        <v>36</v>
      </c>
      <c r="I628" s="1">
        <v>1</v>
      </c>
      <c r="J628"/>
      <c r="K628"/>
      <c r="L628"/>
    </row>
    <row r="629" spans="1:12" x14ac:dyDescent="0.3">
      <c r="A629" s="1">
        <v>5628</v>
      </c>
      <c r="B629" s="3" t="s">
        <v>1061</v>
      </c>
      <c r="C629" s="3" t="s">
        <v>79</v>
      </c>
      <c r="D629" s="3" t="s">
        <v>52</v>
      </c>
      <c r="E629" s="1">
        <v>133950</v>
      </c>
      <c r="F629" s="2" t="s">
        <v>1062</v>
      </c>
      <c r="G629" s="3" t="s">
        <v>24</v>
      </c>
      <c r="H629" s="1">
        <v>37</v>
      </c>
      <c r="I629" s="1">
        <v>2</v>
      </c>
      <c r="J629"/>
      <c r="K629"/>
      <c r="L629"/>
    </row>
    <row r="630" spans="1:12" x14ac:dyDescent="0.3">
      <c r="A630" s="1">
        <v>5629</v>
      </c>
      <c r="B630" s="3" t="s">
        <v>855</v>
      </c>
      <c r="C630" s="3" t="s">
        <v>70</v>
      </c>
      <c r="D630" s="3" t="s">
        <v>87</v>
      </c>
      <c r="E630" s="1">
        <v>134129</v>
      </c>
      <c r="F630" s="2" t="s">
        <v>1063</v>
      </c>
      <c r="G630" s="3" t="s">
        <v>24</v>
      </c>
      <c r="H630" s="1">
        <v>29</v>
      </c>
      <c r="I630" s="1">
        <v>2</v>
      </c>
      <c r="J630"/>
      <c r="K630"/>
      <c r="L630"/>
    </row>
    <row r="631" spans="1:12" x14ac:dyDescent="0.3">
      <c r="A631" s="1">
        <v>5630</v>
      </c>
      <c r="B631" s="3" t="s">
        <v>1064</v>
      </c>
      <c r="C631" s="3" t="s">
        <v>19</v>
      </c>
      <c r="D631" s="3" t="s">
        <v>87</v>
      </c>
      <c r="E631" s="1">
        <v>84469</v>
      </c>
      <c r="F631" s="2" t="s">
        <v>1065</v>
      </c>
      <c r="G631" s="3" t="s">
        <v>24</v>
      </c>
      <c r="H631" s="1">
        <v>41</v>
      </c>
      <c r="I631" s="1">
        <v>3</v>
      </c>
      <c r="J631"/>
      <c r="K631"/>
      <c r="L631"/>
    </row>
    <row r="632" spans="1:12" x14ac:dyDescent="0.3">
      <c r="A632" s="1">
        <v>5631</v>
      </c>
      <c r="B632" s="3" t="s">
        <v>1066</v>
      </c>
      <c r="C632" s="3" t="s">
        <v>79</v>
      </c>
      <c r="D632" s="3" t="s">
        <v>16</v>
      </c>
      <c r="E632" s="1">
        <v>71627</v>
      </c>
      <c r="F632" s="2" t="s">
        <v>1067</v>
      </c>
      <c r="G632" s="3" t="s">
        <v>13</v>
      </c>
      <c r="H632" s="1">
        <v>55</v>
      </c>
      <c r="I632" s="1">
        <v>3</v>
      </c>
      <c r="J632"/>
      <c r="K632"/>
      <c r="L632"/>
    </row>
    <row r="633" spans="1:12" x14ac:dyDescent="0.3">
      <c r="A633" s="1">
        <v>5632</v>
      </c>
      <c r="B633" s="3" t="s">
        <v>1068</v>
      </c>
      <c r="C633" s="3" t="s">
        <v>19</v>
      </c>
      <c r="D633" s="3" t="s">
        <v>16</v>
      </c>
      <c r="E633" s="1">
        <v>87520</v>
      </c>
      <c r="F633" s="2" t="s">
        <v>1069</v>
      </c>
      <c r="G633" s="3" t="s">
        <v>13</v>
      </c>
      <c r="H633" s="1">
        <v>53</v>
      </c>
      <c r="I633" s="1">
        <v>3</v>
      </c>
      <c r="J633"/>
      <c r="K633"/>
      <c r="L633"/>
    </row>
    <row r="634" spans="1:12" x14ac:dyDescent="0.3">
      <c r="A634" s="1">
        <v>5633</v>
      </c>
      <c r="B634" s="3" t="s">
        <v>1070</v>
      </c>
      <c r="C634" s="3" t="s">
        <v>26</v>
      </c>
      <c r="D634" s="3" t="s">
        <v>87</v>
      </c>
      <c r="E634" s="1">
        <v>149496</v>
      </c>
      <c r="F634" s="2" t="s">
        <v>1071</v>
      </c>
      <c r="G634" s="3" t="s">
        <v>13</v>
      </c>
      <c r="H634" s="1">
        <v>31</v>
      </c>
      <c r="I634" s="1">
        <v>2</v>
      </c>
      <c r="J634"/>
      <c r="K634"/>
      <c r="L634"/>
    </row>
    <row r="635" spans="1:12" x14ac:dyDescent="0.3">
      <c r="A635" s="1">
        <v>5634</v>
      </c>
      <c r="B635" s="3" t="s">
        <v>334</v>
      </c>
      <c r="C635" s="3" t="s">
        <v>63</v>
      </c>
      <c r="D635" s="3" t="s">
        <v>27</v>
      </c>
      <c r="E635" s="1">
        <v>33007</v>
      </c>
      <c r="F635" s="2" t="s">
        <v>1072</v>
      </c>
      <c r="G635" s="3" t="s">
        <v>24</v>
      </c>
      <c r="H635" s="1">
        <v>39</v>
      </c>
      <c r="I635" s="1">
        <v>4</v>
      </c>
      <c r="J635"/>
      <c r="K635"/>
      <c r="L635"/>
    </row>
    <row r="636" spans="1:12" x14ac:dyDescent="0.3">
      <c r="A636" s="1">
        <v>5635</v>
      </c>
      <c r="B636" s="3" t="s">
        <v>1073</v>
      </c>
      <c r="C636" s="3" t="s">
        <v>63</v>
      </c>
      <c r="D636" s="3" t="s">
        <v>30</v>
      </c>
      <c r="E636" s="1">
        <v>51379</v>
      </c>
      <c r="F636" s="2" t="s">
        <v>1074</v>
      </c>
      <c r="G636" s="3" t="s">
        <v>13</v>
      </c>
      <c r="H636" s="1">
        <v>26</v>
      </c>
      <c r="I636" s="1">
        <v>4</v>
      </c>
      <c r="J636"/>
      <c r="K636"/>
      <c r="L636"/>
    </row>
    <row r="637" spans="1:12" x14ac:dyDescent="0.3">
      <c r="A637" s="1">
        <v>5636</v>
      </c>
      <c r="B637" s="3" t="s">
        <v>1075</v>
      </c>
      <c r="C637" s="3" t="s">
        <v>19</v>
      </c>
      <c r="D637" s="3" t="s">
        <v>36</v>
      </c>
      <c r="E637" s="1">
        <v>42103</v>
      </c>
      <c r="F637" s="2" t="s">
        <v>1076</v>
      </c>
      <c r="G637" s="3" t="s">
        <v>24</v>
      </c>
      <c r="H637" s="1">
        <v>53</v>
      </c>
      <c r="I637" s="1">
        <v>5</v>
      </c>
      <c r="J637"/>
      <c r="K637"/>
      <c r="L637"/>
    </row>
    <row r="638" spans="1:12" x14ac:dyDescent="0.3">
      <c r="A638" s="1">
        <v>5637</v>
      </c>
      <c r="B638" s="3" t="s">
        <v>60</v>
      </c>
      <c r="C638" s="3" t="s">
        <v>70</v>
      </c>
      <c r="D638" s="3" t="s">
        <v>16</v>
      </c>
      <c r="E638" s="1">
        <v>115058</v>
      </c>
      <c r="F638" s="2" t="s">
        <v>1077</v>
      </c>
      <c r="G638" s="3" t="s">
        <v>24</v>
      </c>
      <c r="H638" s="1">
        <v>37</v>
      </c>
      <c r="I638" s="1">
        <v>5</v>
      </c>
      <c r="J638"/>
      <c r="K638"/>
      <c r="L638"/>
    </row>
    <row r="639" spans="1:12" x14ac:dyDescent="0.3">
      <c r="A639" s="1">
        <v>5638</v>
      </c>
      <c r="B639" s="3" t="s">
        <v>662</v>
      </c>
      <c r="C639" s="3" t="s">
        <v>15</v>
      </c>
      <c r="D639" s="3" t="s">
        <v>27</v>
      </c>
      <c r="E639" s="1">
        <v>102244</v>
      </c>
      <c r="F639" s="2" t="s">
        <v>1078</v>
      </c>
      <c r="G639" s="3" t="s">
        <v>24</v>
      </c>
      <c r="H639" s="1">
        <v>21</v>
      </c>
      <c r="I639" s="1">
        <v>5</v>
      </c>
      <c r="J639"/>
      <c r="K639"/>
      <c r="L639"/>
    </row>
    <row r="640" spans="1:12" x14ac:dyDescent="0.3">
      <c r="A640" s="1">
        <v>5639</v>
      </c>
      <c r="B640" s="3" t="s">
        <v>371</v>
      </c>
      <c r="C640" s="3" t="s">
        <v>39</v>
      </c>
      <c r="D640" s="3" t="s">
        <v>52</v>
      </c>
      <c r="E640" s="1">
        <v>65323</v>
      </c>
      <c r="F640" s="2" t="s">
        <v>1049</v>
      </c>
      <c r="G640" s="3" t="s">
        <v>13</v>
      </c>
      <c r="H640" s="1">
        <v>40</v>
      </c>
      <c r="I640" s="1">
        <v>1</v>
      </c>
      <c r="J640"/>
      <c r="K640"/>
      <c r="L640"/>
    </row>
    <row r="641" spans="1:12" x14ac:dyDescent="0.3">
      <c r="A641" s="1">
        <v>5640</v>
      </c>
      <c r="B641" s="3" t="s">
        <v>1079</v>
      </c>
      <c r="C641" s="3" t="s">
        <v>15</v>
      </c>
      <c r="D641" s="3" t="s">
        <v>61</v>
      </c>
      <c r="E641" s="1">
        <v>46852</v>
      </c>
      <c r="F641" s="2" t="s">
        <v>1080</v>
      </c>
      <c r="G641" s="3" t="s">
        <v>13</v>
      </c>
      <c r="H641" s="1">
        <v>22</v>
      </c>
      <c r="I641" s="1">
        <v>5</v>
      </c>
      <c r="J641"/>
      <c r="K641"/>
      <c r="L641"/>
    </row>
    <row r="642" spans="1:12" x14ac:dyDescent="0.3">
      <c r="A642" s="1">
        <v>5641</v>
      </c>
      <c r="B642" s="3" t="s">
        <v>233</v>
      </c>
      <c r="C642" s="3" t="s">
        <v>39</v>
      </c>
      <c r="D642" s="3" t="s">
        <v>61</v>
      </c>
      <c r="E642" s="1">
        <v>103046</v>
      </c>
      <c r="F642" s="2" t="s">
        <v>1081</v>
      </c>
      <c r="G642" s="3" t="s">
        <v>24</v>
      </c>
      <c r="H642" s="1">
        <v>26</v>
      </c>
      <c r="I642" s="1">
        <v>3</v>
      </c>
      <c r="J642"/>
      <c r="K642"/>
      <c r="L642"/>
    </row>
    <row r="643" spans="1:12" x14ac:dyDescent="0.3">
      <c r="A643" s="1">
        <v>5642</v>
      </c>
      <c r="B643" s="3" t="s">
        <v>845</v>
      </c>
      <c r="C643" s="3" t="s">
        <v>15</v>
      </c>
      <c r="D643" s="3" t="s">
        <v>16</v>
      </c>
      <c r="E643" s="1">
        <v>146489</v>
      </c>
      <c r="F643" s="2" t="s">
        <v>1082</v>
      </c>
      <c r="G643" s="3" t="s">
        <v>13</v>
      </c>
      <c r="H643" s="1">
        <v>53</v>
      </c>
      <c r="I643" s="1">
        <v>4</v>
      </c>
      <c r="J643"/>
      <c r="K643"/>
      <c r="L643"/>
    </row>
    <row r="644" spans="1:12" x14ac:dyDescent="0.3">
      <c r="A644" s="1">
        <v>5643</v>
      </c>
      <c r="B644" s="3" t="s">
        <v>1083</v>
      </c>
      <c r="C644" s="3" t="s">
        <v>70</v>
      </c>
      <c r="D644" s="3" t="s">
        <v>11</v>
      </c>
      <c r="E644" s="1">
        <v>31093</v>
      </c>
      <c r="F644" s="2" t="s">
        <v>1084</v>
      </c>
      <c r="G644" s="3" t="s">
        <v>13</v>
      </c>
      <c r="H644" s="1">
        <v>54</v>
      </c>
      <c r="I644" s="1">
        <v>5</v>
      </c>
      <c r="J644"/>
      <c r="K644"/>
      <c r="L644"/>
    </row>
    <row r="645" spans="1:12" x14ac:dyDescent="0.3">
      <c r="A645" s="1">
        <v>5644</v>
      </c>
      <c r="B645" s="3" t="s">
        <v>931</v>
      </c>
      <c r="C645" s="3" t="s">
        <v>19</v>
      </c>
      <c r="D645" s="3" t="s">
        <v>36</v>
      </c>
      <c r="E645" s="1">
        <v>42100</v>
      </c>
      <c r="F645" s="2" t="s">
        <v>1085</v>
      </c>
      <c r="G645" s="3" t="s">
        <v>13</v>
      </c>
      <c r="H645" s="1">
        <v>49</v>
      </c>
      <c r="I645" s="1">
        <v>4</v>
      </c>
      <c r="J645"/>
      <c r="K645"/>
      <c r="L645"/>
    </row>
    <row r="646" spans="1:12" x14ac:dyDescent="0.3">
      <c r="A646" s="1">
        <v>5645</v>
      </c>
      <c r="B646" s="3" t="s">
        <v>215</v>
      </c>
      <c r="C646" s="3" t="s">
        <v>35</v>
      </c>
      <c r="D646" s="3" t="s">
        <v>49</v>
      </c>
      <c r="E646" s="1">
        <v>31039</v>
      </c>
      <c r="F646" s="2" t="s">
        <v>1086</v>
      </c>
      <c r="G646" s="3" t="s">
        <v>13</v>
      </c>
      <c r="H646" s="1">
        <v>49</v>
      </c>
      <c r="I646" s="1">
        <v>1</v>
      </c>
      <c r="J646"/>
      <c r="K646"/>
      <c r="L646"/>
    </row>
    <row r="647" spans="1:12" x14ac:dyDescent="0.3">
      <c r="A647" s="1">
        <v>5646</v>
      </c>
      <c r="B647" s="3" t="s">
        <v>1087</v>
      </c>
      <c r="C647" s="3" t="s">
        <v>63</v>
      </c>
      <c r="D647" s="3" t="s">
        <v>87</v>
      </c>
      <c r="E647" s="1">
        <v>143771</v>
      </c>
      <c r="F647" s="2" t="s">
        <v>984</v>
      </c>
      <c r="G647" s="3" t="s">
        <v>24</v>
      </c>
      <c r="H647" s="1">
        <v>41</v>
      </c>
      <c r="I647" s="1">
        <v>1</v>
      </c>
      <c r="J647"/>
      <c r="K647"/>
      <c r="L647"/>
    </row>
    <row r="648" spans="1:12" x14ac:dyDescent="0.3">
      <c r="A648" s="1">
        <v>5647</v>
      </c>
      <c r="B648" s="3" t="s">
        <v>1002</v>
      </c>
      <c r="C648" s="3" t="s">
        <v>10</v>
      </c>
      <c r="D648" s="3" t="s">
        <v>16</v>
      </c>
      <c r="E648" s="1">
        <v>82656</v>
      </c>
      <c r="F648" s="2" t="s">
        <v>1088</v>
      </c>
      <c r="G648" s="3" t="s">
        <v>24</v>
      </c>
      <c r="H648" s="1">
        <v>22</v>
      </c>
      <c r="I648" s="1">
        <v>4</v>
      </c>
      <c r="J648"/>
      <c r="K648"/>
      <c r="L648"/>
    </row>
    <row r="649" spans="1:12" x14ac:dyDescent="0.3">
      <c r="A649" s="1">
        <v>5648</v>
      </c>
      <c r="B649" s="3" t="s">
        <v>545</v>
      </c>
      <c r="C649" s="3" t="s">
        <v>15</v>
      </c>
      <c r="D649" s="3" t="s">
        <v>27</v>
      </c>
      <c r="E649" s="1">
        <v>92473</v>
      </c>
      <c r="F649" s="2" t="s">
        <v>649</v>
      </c>
      <c r="G649" s="3" t="s">
        <v>13</v>
      </c>
      <c r="H649" s="1">
        <v>41</v>
      </c>
      <c r="I649" s="1">
        <v>2</v>
      </c>
      <c r="J649"/>
      <c r="K649"/>
      <c r="L649"/>
    </row>
    <row r="650" spans="1:12" x14ac:dyDescent="0.3">
      <c r="A650" s="1">
        <v>5649</v>
      </c>
      <c r="B650" s="3" t="s">
        <v>1089</v>
      </c>
      <c r="C650" s="3" t="s">
        <v>39</v>
      </c>
      <c r="D650" s="3" t="s">
        <v>16</v>
      </c>
      <c r="E650" s="1">
        <v>127728</v>
      </c>
      <c r="F650" s="2" t="s">
        <v>1090</v>
      </c>
      <c r="G650" s="3" t="s">
        <v>1534</v>
      </c>
      <c r="H650" s="1">
        <v>48</v>
      </c>
      <c r="I650" s="1">
        <v>2</v>
      </c>
      <c r="J650"/>
      <c r="K650"/>
      <c r="L650"/>
    </row>
    <row r="651" spans="1:12" x14ac:dyDescent="0.3">
      <c r="A651" s="1">
        <v>5650</v>
      </c>
      <c r="B651" s="3" t="s">
        <v>1091</v>
      </c>
      <c r="C651" s="3" t="s">
        <v>39</v>
      </c>
      <c r="D651" s="3" t="s">
        <v>36</v>
      </c>
      <c r="E651" s="1">
        <v>37728</v>
      </c>
      <c r="F651" s="2" t="s">
        <v>1092</v>
      </c>
      <c r="G651" s="3" t="s">
        <v>13</v>
      </c>
      <c r="H651" s="1">
        <v>27</v>
      </c>
      <c r="I651" s="1">
        <v>3</v>
      </c>
      <c r="J651"/>
      <c r="K651"/>
      <c r="L651"/>
    </row>
    <row r="652" spans="1:12" x14ac:dyDescent="0.3">
      <c r="A652" s="1">
        <v>5651</v>
      </c>
      <c r="B652" s="3" t="s">
        <v>427</v>
      </c>
      <c r="C652" s="3" t="s">
        <v>10</v>
      </c>
      <c r="D652" s="3" t="s">
        <v>52</v>
      </c>
      <c r="E652" s="1">
        <v>87520</v>
      </c>
      <c r="F652" s="2" t="s">
        <v>1093</v>
      </c>
      <c r="G652" s="3" t="s">
        <v>24</v>
      </c>
      <c r="H652" s="1">
        <v>33</v>
      </c>
      <c r="I652" s="1">
        <v>2</v>
      </c>
      <c r="J652"/>
      <c r="K652"/>
      <c r="L652"/>
    </row>
    <row r="653" spans="1:12" x14ac:dyDescent="0.3">
      <c r="A653" s="1">
        <v>5652</v>
      </c>
      <c r="B653" s="3" t="s">
        <v>504</v>
      </c>
      <c r="C653" s="3" t="s">
        <v>39</v>
      </c>
      <c r="D653" s="3" t="s">
        <v>36</v>
      </c>
      <c r="E653" s="1">
        <v>103301</v>
      </c>
      <c r="F653" s="2" t="s">
        <v>198</v>
      </c>
      <c r="G653" s="3" t="s">
        <v>13</v>
      </c>
      <c r="H653" s="1">
        <v>50</v>
      </c>
      <c r="I653" s="1">
        <v>1</v>
      </c>
      <c r="J653"/>
      <c r="K653"/>
      <c r="L653"/>
    </row>
    <row r="654" spans="1:12" x14ac:dyDescent="0.3">
      <c r="A654" s="1">
        <v>5653</v>
      </c>
      <c r="B654" s="3" t="s">
        <v>1094</v>
      </c>
      <c r="C654" s="3" t="s">
        <v>39</v>
      </c>
      <c r="D654" s="3" t="s">
        <v>30</v>
      </c>
      <c r="E654" s="1">
        <v>97528</v>
      </c>
      <c r="F654" s="2" t="s">
        <v>584</v>
      </c>
      <c r="G654" s="3" t="s">
        <v>13</v>
      </c>
      <c r="H654" s="1">
        <v>48</v>
      </c>
      <c r="I654" s="1">
        <v>5</v>
      </c>
      <c r="J654"/>
      <c r="K654"/>
      <c r="L654"/>
    </row>
    <row r="655" spans="1:12" x14ac:dyDescent="0.3">
      <c r="A655" s="1">
        <v>5654</v>
      </c>
      <c r="B655" s="3" t="s">
        <v>1095</v>
      </c>
      <c r="C655" s="3" t="s">
        <v>35</v>
      </c>
      <c r="D655" s="3" t="s">
        <v>61</v>
      </c>
      <c r="E655" s="1">
        <v>60693</v>
      </c>
      <c r="F655" s="2" t="s">
        <v>1096</v>
      </c>
      <c r="G655" s="3" t="s">
        <v>13</v>
      </c>
      <c r="H655" s="1">
        <v>54</v>
      </c>
      <c r="I655" s="1">
        <v>3</v>
      </c>
      <c r="J655"/>
      <c r="K655"/>
      <c r="L655"/>
    </row>
    <row r="656" spans="1:12" x14ac:dyDescent="0.3">
      <c r="A656" s="1">
        <v>5655</v>
      </c>
      <c r="B656" s="3" t="s">
        <v>689</v>
      </c>
      <c r="C656" s="3" t="s">
        <v>35</v>
      </c>
      <c r="D656" s="3" t="s">
        <v>87</v>
      </c>
      <c r="E656" s="1">
        <v>104228</v>
      </c>
      <c r="F656" s="2" t="s">
        <v>1097</v>
      </c>
      <c r="G656" s="3" t="s">
        <v>24</v>
      </c>
      <c r="H656" s="1">
        <v>46</v>
      </c>
      <c r="I656" s="1">
        <v>1</v>
      </c>
      <c r="J656"/>
      <c r="K656"/>
      <c r="L656"/>
    </row>
    <row r="657" spans="1:12" x14ac:dyDescent="0.3">
      <c r="A657" s="1">
        <v>5656</v>
      </c>
      <c r="B657" s="3" t="s">
        <v>58</v>
      </c>
      <c r="C657" s="3" t="s">
        <v>19</v>
      </c>
      <c r="D657" s="3" t="s">
        <v>11</v>
      </c>
      <c r="E657" s="1">
        <v>135278</v>
      </c>
      <c r="F657" s="2" t="s">
        <v>374</v>
      </c>
      <c r="G657" s="3" t="s">
        <v>1534</v>
      </c>
      <c r="H657" s="1">
        <v>43</v>
      </c>
      <c r="I657" s="1">
        <v>5</v>
      </c>
      <c r="J657"/>
      <c r="K657"/>
      <c r="L657"/>
    </row>
    <row r="658" spans="1:12" x14ac:dyDescent="0.3">
      <c r="A658" s="1">
        <v>5657</v>
      </c>
      <c r="B658" s="3" t="s">
        <v>1098</v>
      </c>
      <c r="C658" s="3" t="s">
        <v>63</v>
      </c>
      <c r="D658" s="3" t="s">
        <v>27</v>
      </c>
      <c r="E658" s="1">
        <v>49773</v>
      </c>
      <c r="F658" s="2" t="s">
        <v>1099</v>
      </c>
      <c r="G658" s="3" t="s">
        <v>24</v>
      </c>
      <c r="H658" s="1">
        <v>43</v>
      </c>
      <c r="I658" s="1">
        <v>5</v>
      </c>
      <c r="J658"/>
      <c r="K658"/>
      <c r="L658"/>
    </row>
    <row r="659" spans="1:12" x14ac:dyDescent="0.3">
      <c r="A659" s="1">
        <v>5658</v>
      </c>
      <c r="B659" s="3" t="s">
        <v>1100</v>
      </c>
      <c r="C659" s="3" t="s">
        <v>10</v>
      </c>
      <c r="D659" s="3" t="s">
        <v>36</v>
      </c>
      <c r="E659" s="1">
        <v>134245</v>
      </c>
      <c r="F659" s="2" t="s">
        <v>1101</v>
      </c>
      <c r="G659" s="3" t="s">
        <v>13</v>
      </c>
      <c r="H659" s="1">
        <v>27</v>
      </c>
      <c r="I659" s="1">
        <v>2</v>
      </c>
      <c r="J659"/>
      <c r="K659"/>
      <c r="L659"/>
    </row>
    <row r="660" spans="1:12" x14ac:dyDescent="0.3">
      <c r="A660" s="1">
        <v>5659</v>
      </c>
      <c r="B660" s="3" t="s">
        <v>1102</v>
      </c>
      <c r="C660" s="3" t="s">
        <v>39</v>
      </c>
      <c r="D660" s="3" t="s">
        <v>27</v>
      </c>
      <c r="E660" s="1">
        <v>58336</v>
      </c>
      <c r="F660" s="2" t="s">
        <v>1103</v>
      </c>
      <c r="G660" s="3" t="s">
        <v>1534</v>
      </c>
      <c r="H660" s="1">
        <v>34</v>
      </c>
      <c r="I660" s="1">
        <v>5</v>
      </c>
      <c r="J660"/>
      <c r="K660"/>
      <c r="L660"/>
    </row>
    <row r="661" spans="1:12" x14ac:dyDescent="0.3">
      <c r="A661" s="1">
        <v>5660</v>
      </c>
      <c r="B661" s="3" t="s">
        <v>1104</v>
      </c>
      <c r="C661" s="3" t="s">
        <v>44</v>
      </c>
      <c r="D661" s="3" t="s">
        <v>30</v>
      </c>
      <c r="E661" s="1">
        <v>112181</v>
      </c>
      <c r="F661" s="2" t="s">
        <v>1105</v>
      </c>
      <c r="G661" s="3" t="s">
        <v>13</v>
      </c>
      <c r="H661" s="1">
        <v>30</v>
      </c>
      <c r="I661" s="1">
        <v>2</v>
      </c>
      <c r="J661"/>
      <c r="K661"/>
      <c r="L661"/>
    </row>
    <row r="662" spans="1:12" x14ac:dyDescent="0.3">
      <c r="A662" s="1">
        <v>5661</v>
      </c>
      <c r="B662" s="3" t="s">
        <v>291</v>
      </c>
      <c r="C662" s="3" t="s">
        <v>70</v>
      </c>
      <c r="D662" s="3" t="s">
        <v>49</v>
      </c>
      <c r="E662" s="1">
        <v>65984</v>
      </c>
      <c r="F662" s="2" t="s">
        <v>1106</v>
      </c>
      <c r="G662" s="3" t="s">
        <v>24</v>
      </c>
      <c r="H662" s="1">
        <v>27</v>
      </c>
      <c r="I662" s="1">
        <v>5</v>
      </c>
      <c r="J662"/>
      <c r="K662"/>
      <c r="L662"/>
    </row>
    <row r="663" spans="1:12" x14ac:dyDescent="0.3">
      <c r="A663" s="1">
        <v>5662</v>
      </c>
      <c r="B663" s="3" t="s">
        <v>1107</v>
      </c>
      <c r="C663" s="3" t="s">
        <v>79</v>
      </c>
      <c r="D663" s="3" t="s">
        <v>36</v>
      </c>
      <c r="E663" s="1">
        <v>141112</v>
      </c>
      <c r="F663" s="2" t="s">
        <v>1108</v>
      </c>
      <c r="G663" s="3" t="s">
        <v>24</v>
      </c>
      <c r="H663" s="1">
        <v>44</v>
      </c>
      <c r="I663" s="1">
        <v>1</v>
      </c>
      <c r="J663"/>
      <c r="K663"/>
      <c r="L663"/>
    </row>
    <row r="664" spans="1:12" x14ac:dyDescent="0.3">
      <c r="A664" s="1">
        <v>5663</v>
      </c>
      <c r="B664" s="3" t="s">
        <v>98</v>
      </c>
      <c r="C664" s="3" t="s">
        <v>19</v>
      </c>
      <c r="D664" s="3" t="s">
        <v>16</v>
      </c>
      <c r="E664" s="1">
        <v>49190</v>
      </c>
      <c r="F664" s="2" t="s">
        <v>1109</v>
      </c>
      <c r="G664" s="3" t="s">
        <v>24</v>
      </c>
      <c r="H664" s="1">
        <v>50</v>
      </c>
      <c r="I664" s="1">
        <v>2</v>
      </c>
      <c r="J664"/>
      <c r="K664"/>
      <c r="L664"/>
    </row>
    <row r="665" spans="1:12" x14ac:dyDescent="0.3">
      <c r="A665" s="1">
        <v>5664</v>
      </c>
      <c r="B665" s="3" t="s">
        <v>78</v>
      </c>
      <c r="C665" s="3" t="s">
        <v>79</v>
      </c>
      <c r="D665" s="3" t="s">
        <v>27</v>
      </c>
      <c r="E665" s="1">
        <v>99590</v>
      </c>
      <c r="F665" s="2" t="s">
        <v>1110</v>
      </c>
      <c r="G665" s="3" t="s">
        <v>13</v>
      </c>
      <c r="H665" s="1">
        <v>50</v>
      </c>
      <c r="I665" s="1">
        <v>4</v>
      </c>
      <c r="J665"/>
      <c r="K665"/>
      <c r="L665"/>
    </row>
    <row r="666" spans="1:12" x14ac:dyDescent="0.3">
      <c r="A666" s="1">
        <v>5665</v>
      </c>
      <c r="B666" s="3" t="s">
        <v>1111</v>
      </c>
      <c r="C666" s="3" t="s">
        <v>79</v>
      </c>
      <c r="D666" s="3" t="s">
        <v>61</v>
      </c>
      <c r="E666" s="1">
        <v>87520</v>
      </c>
      <c r="F666" s="2" t="s">
        <v>1112</v>
      </c>
      <c r="G666" s="3" t="s">
        <v>13</v>
      </c>
      <c r="H666" s="1">
        <v>48</v>
      </c>
      <c r="I666" s="1">
        <v>3</v>
      </c>
      <c r="J666"/>
      <c r="K666"/>
      <c r="L666"/>
    </row>
    <row r="667" spans="1:12" x14ac:dyDescent="0.3">
      <c r="A667" s="1">
        <v>5666</v>
      </c>
      <c r="B667" s="3" t="s">
        <v>413</v>
      </c>
      <c r="C667" s="3" t="s">
        <v>79</v>
      </c>
      <c r="D667" s="3" t="s">
        <v>30</v>
      </c>
      <c r="E667" s="1">
        <v>96483</v>
      </c>
      <c r="F667" s="2" t="s">
        <v>1113</v>
      </c>
      <c r="G667" s="3" t="s">
        <v>24</v>
      </c>
      <c r="H667" s="1">
        <v>53</v>
      </c>
      <c r="I667" s="1">
        <v>2</v>
      </c>
      <c r="J667"/>
      <c r="K667"/>
      <c r="L667"/>
    </row>
    <row r="668" spans="1:12" x14ac:dyDescent="0.3">
      <c r="A668" s="1">
        <v>5667</v>
      </c>
      <c r="B668" s="3" t="s">
        <v>1114</v>
      </c>
      <c r="C668" s="3" t="s">
        <v>70</v>
      </c>
      <c r="D668" s="3" t="s">
        <v>27</v>
      </c>
      <c r="E668" s="1">
        <v>86561</v>
      </c>
      <c r="F668" s="2" t="s">
        <v>1115</v>
      </c>
      <c r="G668" s="3" t="s">
        <v>24</v>
      </c>
      <c r="H668" s="1">
        <v>23</v>
      </c>
      <c r="I668" s="1">
        <v>3</v>
      </c>
      <c r="J668"/>
      <c r="K668"/>
      <c r="L668"/>
    </row>
    <row r="669" spans="1:12" x14ac:dyDescent="0.3">
      <c r="A669" s="1">
        <v>5668</v>
      </c>
      <c r="B669" s="3" t="s">
        <v>459</v>
      </c>
      <c r="C669" s="3" t="s">
        <v>10</v>
      </c>
      <c r="D669" s="3" t="s">
        <v>49</v>
      </c>
      <c r="E669" s="1">
        <v>59098</v>
      </c>
      <c r="F669" s="2" t="s">
        <v>1116</v>
      </c>
      <c r="G669" s="3" t="s">
        <v>13</v>
      </c>
      <c r="H669" s="1">
        <v>32</v>
      </c>
      <c r="I669" s="1">
        <v>3</v>
      </c>
      <c r="J669"/>
      <c r="K669"/>
      <c r="L669"/>
    </row>
    <row r="670" spans="1:12" x14ac:dyDescent="0.3">
      <c r="A670" s="1">
        <v>5669</v>
      </c>
      <c r="B670" s="3" t="s">
        <v>1117</v>
      </c>
      <c r="C670" s="3" t="s">
        <v>70</v>
      </c>
      <c r="D670" s="3" t="s">
        <v>16</v>
      </c>
      <c r="E670" s="1">
        <v>103159</v>
      </c>
      <c r="F670" s="2" t="s">
        <v>1118</v>
      </c>
      <c r="G670" s="3" t="s">
        <v>24</v>
      </c>
      <c r="H670" s="1">
        <v>43</v>
      </c>
      <c r="I670" s="1">
        <v>2</v>
      </c>
      <c r="J670"/>
      <c r="K670"/>
      <c r="L670"/>
    </row>
    <row r="671" spans="1:12" x14ac:dyDescent="0.3">
      <c r="A671" s="1">
        <v>5670</v>
      </c>
      <c r="B671" s="3" t="s">
        <v>1119</v>
      </c>
      <c r="C671" s="3" t="s">
        <v>44</v>
      </c>
      <c r="D671" s="3" t="s">
        <v>20</v>
      </c>
      <c r="E671" s="1">
        <v>75561</v>
      </c>
      <c r="F671" s="2" t="s">
        <v>1120</v>
      </c>
      <c r="G671" s="3" t="s">
        <v>24</v>
      </c>
      <c r="H671" s="1">
        <v>26</v>
      </c>
      <c r="I671" s="1">
        <v>2</v>
      </c>
      <c r="J671"/>
      <c r="K671"/>
      <c r="L671"/>
    </row>
    <row r="672" spans="1:12" x14ac:dyDescent="0.3">
      <c r="A672" s="1">
        <v>5671</v>
      </c>
      <c r="B672" s="3" t="s">
        <v>18</v>
      </c>
      <c r="C672" s="3" t="s">
        <v>15</v>
      </c>
      <c r="D672" s="3" t="s">
        <v>27</v>
      </c>
      <c r="E672" s="1">
        <v>40615</v>
      </c>
      <c r="F672" s="2" t="s">
        <v>448</v>
      </c>
      <c r="G672" s="3" t="s">
        <v>13</v>
      </c>
      <c r="H672" s="1">
        <v>42</v>
      </c>
      <c r="I672" s="1">
        <v>4</v>
      </c>
      <c r="J672"/>
      <c r="K672"/>
      <c r="L672"/>
    </row>
    <row r="673" spans="1:12" x14ac:dyDescent="0.3">
      <c r="A673" s="1">
        <v>5672</v>
      </c>
      <c r="B673" s="3" t="s">
        <v>1121</v>
      </c>
      <c r="C673" s="3" t="s">
        <v>79</v>
      </c>
      <c r="D673" s="3" t="s">
        <v>61</v>
      </c>
      <c r="E673" s="1">
        <v>90363</v>
      </c>
      <c r="F673" s="2" t="s">
        <v>1122</v>
      </c>
      <c r="G673" s="3" t="s">
        <v>13</v>
      </c>
      <c r="H673" s="1">
        <v>29</v>
      </c>
      <c r="I673" s="1">
        <v>2</v>
      </c>
      <c r="J673"/>
      <c r="K673"/>
      <c r="L673"/>
    </row>
    <row r="674" spans="1:12" x14ac:dyDescent="0.3">
      <c r="A674" s="1">
        <v>5673</v>
      </c>
      <c r="B674" s="3" t="s">
        <v>1123</v>
      </c>
      <c r="C674" s="3" t="s">
        <v>35</v>
      </c>
      <c r="D674" s="3" t="s">
        <v>11</v>
      </c>
      <c r="E674" s="1">
        <v>87520</v>
      </c>
      <c r="F674" s="2" t="s">
        <v>299</v>
      </c>
      <c r="G674" s="3" t="s">
        <v>13</v>
      </c>
      <c r="H674" s="1">
        <v>32</v>
      </c>
      <c r="I674" s="1">
        <v>1</v>
      </c>
      <c r="J674"/>
      <c r="K674"/>
      <c r="L674"/>
    </row>
    <row r="675" spans="1:12" x14ac:dyDescent="0.3">
      <c r="A675" s="1">
        <v>5674</v>
      </c>
      <c r="B675" s="3" t="s">
        <v>1124</v>
      </c>
      <c r="C675" s="3" t="s">
        <v>44</v>
      </c>
      <c r="D675" s="3" t="s">
        <v>27</v>
      </c>
      <c r="E675" s="1">
        <v>89280</v>
      </c>
      <c r="F675" s="2" t="s">
        <v>1125</v>
      </c>
      <c r="G675" s="3" t="s">
        <v>24</v>
      </c>
      <c r="H675" s="1">
        <v>23</v>
      </c>
      <c r="I675" s="1">
        <v>4</v>
      </c>
      <c r="J675"/>
      <c r="K675"/>
      <c r="L675"/>
    </row>
    <row r="676" spans="1:12" x14ac:dyDescent="0.3">
      <c r="A676" s="1">
        <v>5675</v>
      </c>
      <c r="B676" s="3" t="s">
        <v>1126</v>
      </c>
      <c r="C676" s="3" t="s">
        <v>26</v>
      </c>
      <c r="D676" s="3" t="s">
        <v>87</v>
      </c>
      <c r="E676" s="1">
        <v>73803</v>
      </c>
      <c r="F676" s="2" t="s">
        <v>1127</v>
      </c>
      <c r="G676" s="3" t="s">
        <v>13</v>
      </c>
      <c r="H676" s="1">
        <v>51</v>
      </c>
      <c r="I676" s="1">
        <v>5</v>
      </c>
      <c r="J676"/>
      <c r="K676"/>
      <c r="L676"/>
    </row>
    <row r="677" spans="1:12" x14ac:dyDescent="0.3">
      <c r="A677" s="1">
        <v>5676</v>
      </c>
      <c r="B677" s="3" t="s">
        <v>1128</v>
      </c>
      <c r="C677" s="3" t="s">
        <v>26</v>
      </c>
      <c r="D677" s="3" t="s">
        <v>87</v>
      </c>
      <c r="E677" s="1">
        <v>87520</v>
      </c>
      <c r="F677" s="2" t="s">
        <v>315</v>
      </c>
      <c r="G677" s="3" t="s">
        <v>13</v>
      </c>
      <c r="H677" s="1">
        <v>48</v>
      </c>
      <c r="I677" s="1">
        <v>3</v>
      </c>
      <c r="J677"/>
      <c r="K677"/>
      <c r="L677"/>
    </row>
    <row r="678" spans="1:12" x14ac:dyDescent="0.3">
      <c r="A678" s="1">
        <v>5677</v>
      </c>
      <c r="B678" s="3" t="s">
        <v>86</v>
      </c>
      <c r="C678" s="3" t="s">
        <v>15</v>
      </c>
      <c r="D678" s="3" t="s">
        <v>20</v>
      </c>
      <c r="E678" s="1">
        <v>84421</v>
      </c>
      <c r="F678" s="2" t="s">
        <v>1129</v>
      </c>
      <c r="G678" s="3" t="s">
        <v>13</v>
      </c>
      <c r="H678" s="1">
        <v>30</v>
      </c>
      <c r="I678" s="1">
        <v>1</v>
      </c>
      <c r="J678"/>
      <c r="K678"/>
      <c r="L678"/>
    </row>
    <row r="679" spans="1:12" x14ac:dyDescent="0.3">
      <c r="A679" s="1">
        <v>5678</v>
      </c>
      <c r="B679" s="3" t="s">
        <v>1130</v>
      </c>
      <c r="C679" s="3" t="s">
        <v>79</v>
      </c>
      <c r="D679" s="3" t="s">
        <v>87</v>
      </c>
      <c r="E679" s="1">
        <v>135732</v>
      </c>
      <c r="F679" s="2" t="s">
        <v>1131</v>
      </c>
      <c r="G679" s="3" t="s">
        <v>13</v>
      </c>
      <c r="H679" s="1">
        <v>44</v>
      </c>
      <c r="I679" s="1">
        <v>2</v>
      </c>
      <c r="J679"/>
      <c r="K679"/>
      <c r="L679"/>
    </row>
    <row r="680" spans="1:12" x14ac:dyDescent="0.3">
      <c r="A680" s="1">
        <v>5679</v>
      </c>
      <c r="B680" s="3" t="s">
        <v>1132</v>
      </c>
      <c r="C680" s="3" t="s">
        <v>70</v>
      </c>
      <c r="D680" s="3" t="s">
        <v>20</v>
      </c>
      <c r="E680" s="1">
        <v>28390</v>
      </c>
      <c r="F680" s="2" t="s">
        <v>827</v>
      </c>
      <c r="G680" s="3" t="s">
        <v>13</v>
      </c>
      <c r="H680" s="1">
        <v>23</v>
      </c>
      <c r="I680" s="1">
        <v>2</v>
      </c>
      <c r="J680"/>
      <c r="K680"/>
      <c r="L680"/>
    </row>
    <row r="681" spans="1:12" x14ac:dyDescent="0.3">
      <c r="A681" s="1">
        <v>5680</v>
      </c>
      <c r="B681" s="3" t="s">
        <v>1133</v>
      </c>
      <c r="C681" s="3" t="s">
        <v>35</v>
      </c>
      <c r="D681" s="3" t="s">
        <v>30</v>
      </c>
      <c r="E681" s="1">
        <v>127614</v>
      </c>
      <c r="F681" s="2" t="s">
        <v>995</v>
      </c>
      <c r="G681" s="3" t="s">
        <v>13</v>
      </c>
      <c r="H681" s="1">
        <v>27</v>
      </c>
      <c r="I681" s="1">
        <v>5</v>
      </c>
      <c r="J681"/>
      <c r="K681"/>
      <c r="L681"/>
    </row>
    <row r="682" spans="1:12" x14ac:dyDescent="0.3">
      <c r="A682" s="1">
        <v>5681</v>
      </c>
      <c r="B682" s="3" t="s">
        <v>1134</v>
      </c>
      <c r="C682" s="3" t="s">
        <v>44</v>
      </c>
      <c r="D682" s="3" t="s">
        <v>16</v>
      </c>
      <c r="E682" s="1">
        <v>131377</v>
      </c>
      <c r="F682" s="2" t="s">
        <v>1116</v>
      </c>
      <c r="G682" s="3" t="s">
        <v>13</v>
      </c>
      <c r="H682" s="1">
        <v>33</v>
      </c>
      <c r="I682" s="1">
        <v>3</v>
      </c>
      <c r="J682"/>
      <c r="K682"/>
      <c r="L682"/>
    </row>
    <row r="683" spans="1:12" x14ac:dyDescent="0.3">
      <c r="A683" s="1">
        <v>5682</v>
      </c>
      <c r="B683" s="3" t="s">
        <v>285</v>
      </c>
      <c r="C683" s="3" t="s">
        <v>44</v>
      </c>
      <c r="D683" s="3" t="s">
        <v>27</v>
      </c>
      <c r="E683" s="1">
        <v>139729</v>
      </c>
      <c r="F683" s="2" t="s">
        <v>1135</v>
      </c>
      <c r="G683" s="3" t="s">
        <v>24</v>
      </c>
      <c r="H683" s="1">
        <v>26</v>
      </c>
      <c r="I683" s="1">
        <v>1</v>
      </c>
      <c r="J683"/>
      <c r="K683"/>
      <c r="L683"/>
    </row>
    <row r="684" spans="1:12" x14ac:dyDescent="0.3">
      <c r="A684" s="1">
        <v>5683</v>
      </c>
      <c r="B684" s="3" t="s">
        <v>779</v>
      </c>
      <c r="C684" s="3" t="s">
        <v>35</v>
      </c>
      <c r="D684" s="3" t="s">
        <v>27</v>
      </c>
      <c r="E684" s="1">
        <v>129550</v>
      </c>
      <c r="F684" s="2" t="s">
        <v>1136</v>
      </c>
      <c r="G684" s="3" t="s">
        <v>24</v>
      </c>
      <c r="H684" s="1">
        <v>43</v>
      </c>
      <c r="I684" s="1">
        <v>3</v>
      </c>
      <c r="J684"/>
      <c r="K684"/>
      <c r="L684"/>
    </row>
    <row r="685" spans="1:12" x14ac:dyDescent="0.3">
      <c r="A685" s="1">
        <v>5684</v>
      </c>
      <c r="B685" s="3" t="s">
        <v>1137</v>
      </c>
      <c r="C685" s="3" t="s">
        <v>79</v>
      </c>
      <c r="D685" s="3" t="s">
        <v>87</v>
      </c>
      <c r="E685" s="1">
        <v>34089</v>
      </c>
      <c r="F685" s="2" t="s">
        <v>498</v>
      </c>
      <c r="G685" s="3" t="s">
        <v>13</v>
      </c>
      <c r="H685" s="1">
        <v>23</v>
      </c>
      <c r="I685" s="1">
        <v>4</v>
      </c>
      <c r="J685"/>
      <c r="K685"/>
      <c r="L685"/>
    </row>
    <row r="686" spans="1:12" x14ac:dyDescent="0.3">
      <c r="A686" s="1">
        <v>5685</v>
      </c>
      <c r="B686" s="3" t="s">
        <v>1580</v>
      </c>
      <c r="C686" s="3" t="s">
        <v>19</v>
      </c>
      <c r="D686" s="3" t="s">
        <v>20</v>
      </c>
      <c r="E686" s="1">
        <v>116902</v>
      </c>
      <c r="F686" s="2" t="s">
        <v>335</v>
      </c>
      <c r="G686" s="3" t="s">
        <v>13</v>
      </c>
      <c r="H686" s="1">
        <v>28</v>
      </c>
      <c r="I686" s="1">
        <v>1</v>
      </c>
      <c r="J686"/>
      <c r="K686"/>
      <c r="L686"/>
    </row>
    <row r="687" spans="1:12" x14ac:dyDescent="0.3">
      <c r="A687" s="1">
        <v>5686</v>
      </c>
      <c r="B687" s="3" t="s">
        <v>841</v>
      </c>
      <c r="C687" s="3" t="s">
        <v>70</v>
      </c>
      <c r="D687" s="3" t="s">
        <v>30</v>
      </c>
      <c r="E687" s="1">
        <v>53079</v>
      </c>
      <c r="F687" s="2" t="s">
        <v>1138</v>
      </c>
      <c r="G687" s="3" t="s">
        <v>24</v>
      </c>
      <c r="H687" s="1">
        <v>40</v>
      </c>
      <c r="I687" s="1">
        <v>5</v>
      </c>
      <c r="J687"/>
      <c r="K687"/>
      <c r="L687"/>
    </row>
    <row r="688" spans="1:12" x14ac:dyDescent="0.3">
      <c r="A688" s="1">
        <v>5687</v>
      </c>
      <c r="B688" s="3" t="s">
        <v>782</v>
      </c>
      <c r="C688" s="3" t="s">
        <v>44</v>
      </c>
      <c r="D688" s="3" t="s">
        <v>20</v>
      </c>
      <c r="E688" s="1">
        <v>71392</v>
      </c>
      <c r="F688" s="2" t="s">
        <v>1139</v>
      </c>
      <c r="G688" s="3" t="s">
        <v>13</v>
      </c>
      <c r="H688" s="1">
        <v>44</v>
      </c>
      <c r="I688" s="1">
        <v>5</v>
      </c>
      <c r="J688"/>
      <c r="K688"/>
      <c r="L688"/>
    </row>
    <row r="689" spans="1:12" x14ac:dyDescent="0.3">
      <c r="A689" s="1">
        <v>5688</v>
      </c>
      <c r="B689" s="3" t="s">
        <v>1140</v>
      </c>
      <c r="C689" s="3" t="s">
        <v>63</v>
      </c>
      <c r="D689" s="3" t="s">
        <v>27</v>
      </c>
      <c r="E689" s="1">
        <v>148614</v>
      </c>
      <c r="F689" s="2" t="s">
        <v>1036</v>
      </c>
      <c r="G689" s="3" t="s">
        <v>13</v>
      </c>
      <c r="H689" s="1">
        <v>43</v>
      </c>
      <c r="I689" s="1">
        <v>2</v>
      </c>
      <c r="J689"/>
      <c r="K689"/>
      <c r="L689"/>
    </row>
    <row r="690" spans="1:12" x14ac:dyDescent="0.3">
      <c r="A690" s="1">
        <v>5689</v>
      </c>
      <c r="B690" s="3" t="s">
        <v>1141</v>
      </c>
      <c r="C690" s="3" t="s">
        <v>44</v>
      </c>
      <c r="D690" s="3" t="s">
        <v>16</v>
      </c>
      <c r="E690" s="1">
        <v>139052</v>
      </c>
      <c r="F690" s="2" t="s">
        <v>760</v>
      </c>
      <c r="G690" s="3" t="s">
        <v>13</v>
      </c>
      <c r="H690" s="1">
        <v>34</v>
      </c>
      <c r="I690" s="1">
        <v>3</v>
      </c>
      <c r="J690"/>
      <c r="K690"/>
      <c r="L690"/>
    </row>
    <row r="691" spans="1:12" x14ac:dyDescent="0.3">
      <c r="A691" s="1">
        <v>5690</v>
      </c>
      <c r="B691" s="3" t="s">
        <v>1142</v>
      </c>
      <c r="C691" s="3" t="s">
        <v>26</v>
      </c>
      <c r="D691" s="3" t="s">
        <v>30</v>
      </c>
      <c r="E691" s="1">
        <v>73161</v>
      </c>
      <c r="F691" s="2" t="s">
        <v>1143</v>
      </c>
      <c r="G691" s="3" t="s">
        <v>24</v>
      </c>
      <c r="H691" s="1">
        <v>39</v>
      </c>
      <c r="I691" s="1">
        <v>1</v>
      </c>
      <c r="J691"/>
      <c r="K691"/>
      <c r="L691"/>
    </row>
    <row r="692" spans="1:12" x14ac:dyDescent="0.3">
      <c r="A692" s="1">
        <v>5691</v>
      </c>
      <c r="B692" s="3" t="s">
        <v>933</v>
      </c>
      <c r="C692" s="3" t="s">
        <v>19</v>
      </c>
      <c r="D692" s="3" t="s">
        <v>61</v>
      </c>
      <c r="E692" s="1">
        <v>48362</v>
      </c>
      <c r="F692" s="2" t="s">
        <v>1144</v>
      </c>
      <c r="G692" s="3" t="s">
        <v>24</v>
      </c>
      <c r="H692" s="1">
        <v>50</v>
      </c>
      <c r="I692" s="1">
        <v>1</v>
      </c>
      <c r="J692"/>
      <c r="K692"/>
      <c r="L692"/>
    </row>
    <row r="693" spans="1:12" x14ac:dyDescent="0.3">
      <c r="A693" s="1">
        <v>5692</v>
      </c>
      <c r="B693" s="3" t="s">
        <v>1145</v>
      </c>
      <c r="C693" s="3" t="s">
        <v>35</v>
      </c>
      <c r="D693" s="3" t="s">
        <v>16</v>
      </c>
      <c r="E693" s="1">
        <v>42323</v>
      </c>
      <c r="F693" s="2" t="s">
        <v>1146</v>
      </c>
      <c r="G693" s="3" t="s">
        <v>24</v>
      </c>
      <c r="H693" s="1">
        <v>23</v>
      </c>
      <c r="I693" s="1">
        <v>4</v>
      </c>
      <c r="J693"/>
      <c r="K693"/>
      <c r="L693"/>
    </row>
    <row r="694" spans="1:12" x14ac:dyDescent="0.3">
      <c r="A694" s="1">
        <v>5693</v>
      </c>
      <c r="B694" s="3" t="s">
        <v>1581</v>
      </c>
      <c r="C694" s="3" t="s">
        <v>19</v>
      </c>
      <c r="D694" s="3" t="s">
        <v>27</v>
      </c>
      <c r="E694" s="1">
        <v>67651</v>
      </c>
      <c r="F694" s="2" t="s">
        <v>1147</v>
      </c>
      <c r="G694" s="3" t="s">
        <v>13</v>
      </c>
      <c r="H694" s="1">
        <v>39</v>
      </c>
      <c r="I694" s="1">
        <v>1</v>
      </c>
      <c r="J694"/>
      <c r="K694"/>
      <c r="L694"/>
    </row>
    <row r="695" spans="1:12" x14ac:dyDescent="0.3">
      <c r="A695" s="1">
        <v>5694</v>
      </c>
      <c r="B695" s="3" t="s">
        <v>1087</v>
      </c>
      <c r="C695" s="3" t="s">
        <v>70</v>
      </c>
      <c r="D695" s="3" t="s">
        <v>36</v>
      </c>
      <c r="E695" s="1">
        <v>82014</v>
      </c>
      <c r="F695" s="2" t="s">
        <v>1148</v>
      </c>
      <c r="G695" s="3" t="s">
        <v>24</v>
      </c>
      <c r="H695" s="1">
        <v>45</v>
      </c>
      <c r="I695" s="1">
        <v>4</v>
      </c>
      <c r="J695"/>
      <c r="K695"/>
      <c r="L695"/>
    </row>
    <row r="696" spans="1:12" x14ac:dyDescent="0.3">
      <c r="A696" s="1">
        <v>5695</v>
      </c>
      <c r="B696" s="3" t="s">
        <v>1149</v>
      </c>
      <c r="C696" s="3" t="s">
        <v>26</v>
      </c>
      <c r="D696" s="3" t="s">
        <v>49</v>
      </c>
      <c r="E696" s="1">
        <v>28579</v>
      </c>
      <c r="F696" s="2" t="s">
        <v>1150</v>
      </c>
      <c r="G696" s="3" t="s">
        <v>13</v>
      </c>
      <c r="H696" s="1">
        <v>51</v>
      </c>
      <c r="I696" s="1">
        <v>1</v>
      </c>
      <c r="J696"/>
      <c r="K696"/>
      <c r="L696"/>
    </row>
    <row r="697" spans="1:12" x14ac:dyDescent="0.3">
      <c r="A697" s="1">
        <v>5696</v>
      </c>
      <c r="B697" s="3" t="s">
        <v>329</v>
      </c>
      <c r="C697" s="3" t="s">
        <v>35</v>
      </c>
      <c r="D697" s="3" t="s">
        <v>49</v>
      </c>
      <c r="E697" s="1">
        <v>55934</v>
      </c>
      <c r="F697" s="2" t="s">
        <v>1151</v>
      </c>
      <c r="G697" s="3" t="s">
        <v>13</v>
      </c>
      <c r="H697" s="1">
        <v>33</v>
      </c>
      <c r="I697" s="1">
        <v>1</v>
      </c>
      <c r="J697"/>
      <c r="K697"/>
      <c r="L697"/>
    </row>
    <row r="698" spans="1:12" x14ac:dyDescent="0.3">
      <c r="A698" s="1">
        <v>5697</v>
      </c>
      <c r="B698" s="3" t="s">
        <v>464</v>
      </c>
      <c r="C698" s="3" t="s">
        <v>26</v>
      </c>
      <c r="D698" s="3" t="s">
        <v>87</v>
      </c>
      <c r="E698" s="1">
        <v>65302</v>
      </c>
      <c r="F698" s="2" t="s">
        <v>1152</v>
      </c>
      <c r="G698" s="3" t="s">
        <v>13</v>
      </c>
      <c r="H698" s="1">
        <v>35</v>
      </c>
      <c r="I698" s="1">
        <v>3</v>
      </c>
      <c r="J698"/>
      <c r="K698"/>
      <c r="L698"/>
    </row>
    <row r="699" spans="1:12" x14ac:dyDescent="0.3">
      <c r="A699" s="1">
        <v>5698</v>
      </c>
      <c r="B699" s="3" t="s">
        <v>946</v>
      </c>
      <c r="C699" s="3" t="s">
        <v>19</v>
      </c>
      <c r="D699" s="3" t="s">
        <v>27</v>
      </c>
      <c r="E699" s="1">
        <v>76071</v>
      </c>
      <c r="F699" s="2" t="s">
        <v>1153</v>
      </c>
      <c r="G699" s="3" t="s">
        <v>24</v>
      </c>
      <c r="H699" s="1">
        <v>37</v>
      </c>
      <c r="I699" s="1">
        <v>3</v>
      </c>
      <c r="J699"/>
      <c r="K699"/>
      <c r="L699"/>
    </row>
    <row r="700" spans="1:12" x14ac:dyDescent="0.3">
      <c r="A700" s="1">
        <v>5699</v>
      </c>
      <c r="B700" s="3" t="s">
        <v>1154</v>
      </c>
      <c r="C700" s="3" t="s">
        <v>79</v>
      </c>
      <c r="D700" s="3" t="s">
        <v>20</v>
      </c>
      <c r="E700" s="1">
        <v>57522</v>
      </c>
      <c r="F700" s="2" t="s">
        <v>1155</v>
      </c>
      <c r="G700" s="3" t="s">
        <v>13</v>
      </c>
      <c r="H700" s="1">
        <v>27</v>
      </c>
      <c r="I700" s="1">
        <v>5</v>
      </c>
      <c r="J700"/>
      <c r="K700"/>
      <c r="L700"/>
    </row>
    <row r="701" spans="1:12" x14ac:dyDescent="0.3">
      <c r="A701" s="1">
        <v>5700</v>
      </c>
      <c r="B701" s="3" t="s">
        <v>1156</v>
      </c>
      <c r="C701" s="3" t="s">
        <v>39</v>
      </c>
      <c r="D701" s="3" t="s">
        <v>20</v>
      </c>
      <c r="E701" s="1">
        <v>114017</v>
      </c>
      <c r="F701" s="2" t="s">
        <v>1157</v>
      </c>
      <c r="G701" s="3" t="s">
        <v>24</v>
      </c>
      <c r="H701" s="1">
        <v>32</v>
      </c>
      <c r="I701" s="1">
        <v>2</v>
      </c>
      <c r="J701"/>
      <c r="K701"/>
      <c r="L701"/>
    </row>
    <row r="702" spans="1:12" x14ac:dyDescent="0.3">
      <c r="A702" s="1">
        <v>5701</v>
      </c>
      <c r="B702" s="3" t="s">
        <v>1158</v>
      </c>
      <c r="C702" s="3" t="s">
        <v>70</v>
      </c>
      <c r="D702" s="3" t="s">
        <v>11</v>
      </c>
      <c r="E702" s="1">
        <v>85431</v>
      </c>
      <c r="F702" s="2" t="s">
        <v>1159</v>
      </c>
      <c r="G702" s="3" t="s">
        <v>13</v>
      </c>
      <c r="H702" s="1">
        <v>47</v>
      </c>
      <c r="I702" s="1">
        <v>1</v>
      </c>
      <c r="J702"/>
      <c r="K702"/>
      <c r="L702"/>
    </row>
    <row r="703" spans="1:12" x14ac:dyDescent="0.3">
      <c r="A703" s="1">
        <v>5702</v>
      </c>
      <c r="B703" s="3" t="s">
        <v>185</v>
      </c>
      <c r="C703" s="3" t="s">
        <v>44</v>
      </c>
      <c r="D703" s="3" t="s">
        <v>27</v>
      </c>
      <c r="E703" s="1">
        <v>46336</v>
      </c>
      <c r="F703" s="2" t="s">
        <v>1160</v>
      </c>
      <c r="G703" s="3" t="s">
        <v>24</v>
      </c>
      <c r="H703" s="1">
        <v>49</v>
      </c>
      <c r="I703" s="1">
        <v>4</v>
      </c>
      <c r="J703"/>
      <c r="K703"/>
      <c r="L703"/>
    </row>
    <row r="704" spans="1:12" x14ac:dyDescent="0.3">
      <c r="A704" s="1">
        <v>5703</v>
      </c>
      <c r="B704" s="3" t="s">
        <v>1161</v>
      </c>
      <c r="C704" s="3" t="s">
        <v>44</v>
      </c>
      <c r="D704" s="3" t="s">
        <v>87</v>
      </c>
      <c r="E704" s="1">
        <v>146483</v>
      </c>
      <c r="F704" s="2" t="s">
        <v>1162</v>
      </c>
      <c r="G704" s="3" t="s">
        <v>24</v>
      </c>
      <c r="H704" s="1">
        <v>44</v>
      </c>
      <c r="I704" s="1">
        <v>4</v>
      </c>
      <c r="J704"/>
      <c r="K704"/>
      <c r="L704"/>
    </row>
    <row r="705" spans="1:12" x14ac:dyDescent="0.3">
      <c r="A705" s="1">
        <v>5704</v>
      </c>
      <c r="B705" s="3" t="s">
        <v>1163</v>
      </c>
      <c r="C705" s="3" t="s">
        <v>26</v>
      </c>
      <c r="D705" s="3" t="s">
        <v>11</v>
      </c>
      <c r="E705" s="1">
        <v>37440</v>
      </c>
      <c r="F705" s="2" t="s">
        <v>1164</v>
      </c>
      <c r="G705" s="3" t="s">
        <v>13</v>
      </c>
      <c r="H705" s="1">
        <v>38</v>
      </c>
      <c r="I705" s="1">
        <v>1</v>
      </c>
      <c r="J705"/>
      <c r="K705"/>
      <c r="L705"/>
    </row>
    <row r="706" spans="1:12" x14ac:dyDescent="0.3">
      <c r="A706" s="1">
        <v>5705</v>
      </c>
      <c r="B706" s="3" t="s">
        <v>1128</v>
      </c>
      <c r="C706" s="3" t="s">
        <v>70</v>
      </c>
      <c r="D706" s="3" t="s">
        <v>11</v>
      </c>
      <c r="E706" s="1">
        <v>42297</v>
      </c>
      <c r="F706" s="2" t="s">
        <v>1165</v>
      </c>
      <c r="G706" s="3" t="s">
        <v>24</v>
      </c>
      <c r="H706" s="1">
        <v>39</v>
      </c>
      <c r="I706" s="1">
        <v>2</v>
      </c>
      <c r="J706"/>
      <c r="K706"/>
      <c r="L706"/>
    </row>
    <row r="707" spans="1:12" x14ac:dyDescent="0.3">
      <c r="A707" s="1">
        <v>5706</v>
      </c>
      <c r="B707" s="3" t="s">
        <v>1166</v>
      </c>
      <c r="C707" s="3" t="s">
        <v>79</v>
      </c>
      <c r="D707" s="3" t="s">
        <v>49</v>
      </c>
      <c r="E707" s="1">
        <v>42499</v>
      </c>
      <c r="F707" s="2" t="s">
        <v>1167</v>
      </c>
      <c r="G707" s="3" t="s">
        <v>24</v>
      </c>
      <c r="H707" s="1">
        <v>53</v>
      </c>
      <c r="I707" s="1">
        <v>1</v>
      </c>
      <c r="J707"/>
      <c r="K707"/>
      <c r="L707"/>
    </row>
    <row r="708" spans="1:12" x14ac:dyDescent="0.3">
      <c r="A708" s="1">
        <v>5707</v>
      </c>
      <c r="B708" s="3" t="s">
        <v>368</v>
      </c>
      <c r="C708" s="3" t="s">
        <v>10</v>
      </c>
      <c r="D708" s="3" t="s">
        <v>36</v>
      </c>
      <c r="E708" s="1">
        <v>132461</v>
      </c>
      <c r="F708" s="2" t="s">
        <v>1168</v>
      </c>
      <c r="G708" s="3" t="s">
        <v>13</v>
      </c>
      <c r="H708" s="1">
        <v>47</v>
      </c>
      <c r="I708" s="1">
        <v>1</v>
      </c>
      <c r="J708"/>
      <c r="K708"/>
      <c r="L708"/>
    </row>
    <row r="709" spans="1:12" x14ac:dyDescent="0.3">
      <c r="A709" s="1">
        <v>5708</v>
      </c>
      <c r="B709" s="3" t="s">
        <v>1582</v>
      </c>
      <c r="C709" s="3" t="s">
        <v>10</v>
      </c>
      <c r="D709" s="3" t="s">
        <v>27</v>
      </c>
      <c r="E709" s="1">
        <v>142811</v>
      </c>
      <c r="F709" s="2" t="s">
        <v>1169</v>
      </c>
      <c r="G709" s="3" t="s">
        <v>24</v>
      </c>
      <c r="H709" s="1">
        <v>42</v>
      </c>
      <c r="I709" s="1">
        <v>1</v>
      </c>
      <c r="J709"/>
      <c r="K709"/>
      <c r="L709"/>
    </row>
    <row r="710" spans="1:12" x14ac:dyDescent="0.3">
      <c r="A710" s="1">
        <v>5709</v>
      </c>
      <c r="B710" s="3" t="s">
        <v>1170</v>
      </c>
      <c r="C710" s="3" t="s">
        <v>10</v>
      </c>
      <c r="D710" s="3" t="s">
        <v>49</v>
      </c>
      <c r="E710" s="1">
        <v>132336</v>
      </c>
      <c r="F710" s="2" t="s">
        <v>1171</v>
      </c>
      <c r="G710" s="3" t="s">
        <v>13</v>
      </c>
      <c r="H710" s="1">
        <v>21</v>
      </c>
      <c r="I710" s="1">
        <v>5</v>
      </c>
      <c r="J710"/>
      <c r="K710"/>
      <c r="L710"/>
    </row>
    <row r="711" spans="1:12" x14ac:dyDescent="0.3">
      <c r="A711" s="1">
        <v>5710</v>
      </c>
      <c r="B711" s="3" t="s">
        <v>1172</v>
      </c>
      <c r="C711" s="3" t="s">
        <v>44</v>
      </c>
      <c r="D711" s="3" t="s">
        <v>27</v>
      </c>
      <c r="E711" s="1">
        <v>30396</v>
      </c>
      <c r="F711" s="2" t="s">
        <v>1173</v>
      </c>
      <c r="G711" s="3" t="s">
        <v>24</v>
      </c>
      <c r="H711" s="1">
        <v>49</v>
      </c>
      <c r="I711" s="1">
        <v>2</v>
      </c>
      <c r="J711"/>
      <c r="K711"/>
      <c r="L711"/>
    </row>
    <row r="712" spans="1:12" x14ac:dyDescent="0.3">
      <c r="A712" s="1">
        <v>5711</v>
      </c>
      <c r="B712" s="3" t="s">
        <v>1174</v>
      </c>
      <c r="C712" s="3" t="s">
        <v>15</v>
      </c>
      <c r="D712" s="3" t="s">
        <v>49</v>
      </c>
      <c r="E712" s="1">
        <v>129484</v>
      </c>
      <c r="F712" s="2" t="s">
        <v>1175</v>
      </c>
      <c r="G712" s="3" t="s">
        <v>24</v>
      </c>
      <c r="H712" s="1">
        <v>46</v>
      </c>
      <c r="I712" s="1">
        <v>4</v>
      </c>
      <c r="J712"/>
      <c r="K712"/>
      <c r="L712"/>
    </row>
    <row r="713" spans="1:12" x14ac:dyDescent="0.3">
      <c r="A713" s="1">
        <v>5712</v>
      </c>
      <c r="B713" s="3" t="s">
        <v>220</v>
      </c>
      <c r="C713" s="3" t="s">
        <v>39</v>
      </c>
      <c r="D713" s="3" t="s">
        <v>52</v>
      </c>
      <c r="E713" s="1">
        <v>118768</v>
      </c>
      <c r="F713" s="2" t="s">
        <v>1176</v>
      </c>
      <c r="G713" s="3" t="s">
        <v>24</v>
      </c>
      <c r="H713" s="1">
        <v>25</v>
      </c>
      <c r="I713" s="1">
        <v>2</v>
      </c>
      <c r="J713"/>
      <c r="K713"/>
      <c r="L713"/>
    </row>
    <row r="714" spans="1:12" x14ac:dyDescent="0.3">
      <c r="A714" s="1">
        <v>5713</v>
      </c>
      <c r="B714" s="3" t="s">
        <v>1583</v>
      </c>
      <c r="C714" s="3" t="s">
        <v>44</v>
      </c>
      <c r="D714" s="3" t="s">
        <v>36</v>
      </c>
      <c r="E714" s="1">
        <v>68640</v>
      </c>
      <c r="F714" s="2" t="s">
        <v>1177</v>
      </c>
      <c r="G714" s="3" t="s">
        <v>24</v>
      </c>
      <c r="H714" s="1">
        <v>47</v>
      </c>
      <c r="I714" s="1">
        <v>4</v>
      </c>
      <c r="J714"/>
      <c r="K714"/>
      <c r="L714"/>
    </row>
    <row r="715" spans="1:12" x14ac:dyDescent="0.3">
      <c r="A715" s="1">
        <v>5714</v>
      </c>
      <c r="B715" s="3" t="s">
        <v>1178</v>
      </c>
      <c r="C715" s="3" t="s">
        <v>35</v>
      </c>
      <c r="D715" s="3" t="s">
        <v>16</v>
      </c>
      <c r="E715" s="1">
        <v>72180</v>
      </c>
      <c r="F715" s="2" t="s">
        <v>854</v>
      </c>
      <c r="G715" s="3" t="s">
        <v>13</v>
      </c>
      <c r="H715" s="1">
        <v>37</v>
      </c>
      <c r="I715" s="1">
        <v>5</v>
      </c>
      <c r="J715"/>
      <c r="K715"/>
      <c r="L715"/>
    </row>
    <row r="716" spans="1:12" x14ac:dyDescent="0.3">
      <c r="A716" s="1">
        <v>5715</v>
      </c>
      <c r="B716" s="3" t="s">
        <v>1066</v>
      </c>
      <c r="C716" s="3" t="s">
        <v>79</v>
      </c>
      <c r="D716" s="3" t="s">
        <v>61</v>
      </c>
      <c r="E716" s="1">
        <v>87520</v>
      </c>
      <c r="F716" s="2" t="s">
        <v>1179</v>
      </c>
      <c r="G716" s="3" t="s">
        <v>13</v>
      </c>
      <c r="H716" s="1">
        <v>39</v>
      </c>
      <c r="I716" s="1">
        <v>3</v>
      </c>
      <c r="J716"/>
      <c r="K716"/>
      <c r="L716"/>
    </row>
    <row r="717" spans="1:12" x14ac:dyDescent="0.3">
      <c r="A717" s="1">
        <v>5716</v>
      </c>
      <c r="B717" s="3" t="s">
        <v>1119</v>
      </c>
      <c r="C717" s="3" t="s">
        <v>39</v>
      </c>
      <c r="D717" s="3" t="s">
        <v>16</v>
      </c>
      <c r="E717" s="1">
        <v>47944</v>
      </c>
      <c r="F717" s="2" t="s">
        <v>1177</v>
      </c>
      <c r="G717" s="3" t="s">
        <v>24</v>
      </c>
      <c r="H717" s="1">
        <v>42</v>
      </c>
      <c r="I717" s="1">
        <v>5</v>
      </c>
      <c r="J717"/>
      <c r="K717"/>
      <c r="L717"/>
    </row>
    <row r="718" spans="1:12" x14ac:dyDescent="0.3">
      <c r="A718" s="1">
        <v>5717</v>
      </c>
      <c r="B718" s="3" t="s">
        <v>441</v>
      </c>
      <c r="C718" s="3" t="s">
        <v>10</v>
      </c>
      <c r="D718" s="3" t="s">
        <v>27</v>
      </c>
      <c r="E718" s="1">
        <v>99208</v>
      </c>
      <c r="F718" s="2" t="s">
        <v>1180</v>
      </c>
      <c r="G718" s="3" t="s">
        <v>24</v>
      </c>
      <c r="H718" s="1">
        <v>25</v>
      </c>
      <c r="I718" s="1">
        <v>3</v>
      </c>
      <c r="J718"/>
      <c r="K718"/>
      <c r="L718"/>
    </row>
    <row r="719" spans="1:12" x14ac:dyDescent="0.3">
      <c r="A719" s="1">
        <v>5718</v>
      </c>
      <c r="B719" s="3" t="s">
        <v>1181</v>
      </c>
      <c r="C719" s="3" t="s">
        <v>26</v>
      </c>
      <c r="D719" s="3" t="s">
        <v>61</v>
      </c>
      <c r="E719" s="1">
        <v>65310</v>
      </c>
      <c r="F719" s="2" t="s">
        <v>1182</v>
      </c>
      <c r="G719" s="3" t="s">
        <v>24</v>
      </c>
      <c r="H719" s="1">
        <v>28</v>
      </c>
      <c r="I719" s="1">
        <v>5</v>
      </c>
      <c r="J719"/>
      <c r="K719"/>
      <c r="L719"/>
    </row>
    <row r="720" spans="1:12" x14ac:dyDescent="0.3">
      <c r="A720" s="1">
        <v>5719</v>
      </c>
      <c r="B720" s="3" t="s">
        <v>1183</v>
      </c>
      <c r="C720" s="3" t="s">
        <v>19</v>
      </c>
      <c r="D720" s="3" t="s">
        <v>49</v>
      </c>
      <c r="E720" s="1">
        <v>149274</v>
      </c>
      <c r="F720" s="2" t="s">
        <v>1184</v>
      </c>
      <c r="G720" s="3" t="s">
        <v>24</v>
      </c>
      <c r="H720" s="1">
        <v>23</v>
      </c>
      <c r="I720" s="1">
        <v>4</v>
      </c>
      <c r="J720"/>
      <c r="K720"/>
      <c r="L720"/>
    </row>
    <row r="721" spans="1:12" x14ac:dyDescent="0.3">
      <c r="A721" s="1">
        <v>5720</v>
      </c>
      <c r="B721" s="3" t="s">
        <v>1584</v>
      </c>
      <c r="C721" s="3" t="s">
        <v>70</v>
      </c>
      <c r="D721" s="3" t="s">
        <v>36</v>
      </c>
      <c r="E721" s="1">
        <v>124220</v>
      </c>
      <c r="F721" s="2" t="s">
        <v>1185</v>
      </c>
      <c r="G721" s="3" t="s">
        <v>13</v>
      </c>
      <c r="H721" s="1">
        <v>40</v>
      </c>
      <c r="I721" s="1">
        <v>3</v>
      </c>
      <c r="J721"/>
      <c r="K721"/>
      <c r="L721"/>
    </row>
    <row r="722" spans="1:12" x14ac:dyDescent="0.3">
      <c r="A722" s="1">
        <v>5721</v>
      </c>
      <c r="B722" s="3" t="s">
        <v>913</v>
      </c>
      <c r="C722" s="3" t="s">
        <v>79</v>
      </c>
      <c r="D722" s="3" t="s">
        <v>61</v>
      </c>
      <c r="E722" s="1">
        <v>89908</v>
      </c>
      <c r="F722" s="2" t="s">
        <v>1186</v>
      </c>
      <c r="G722" s="3" t="s">
        <v>24</v>
      </c>
      <c r="H722" s="1">
        <v>34</v>
      </c>
      <c r="I722" s="1">
        <v>4</v>
      </c>
      <c r="J722"/>
      <c r="K722"/>
      <c r="L722"/>
    </row>
    <row r="723" spans="1:12" x14ac:dyDescent="0.3">
      <c r="A723" s="1">
        <v>5722</v>
      </c>
      <c r="B723" s="3" t="s">
        <v>1187</v>
      </c>
      <c r="C723" s="3" t="s">
        <v>26</v>
      </c>
      <c r="D723" s="3" t="s">
        <v>36</v>
      </c>
      <c r="E723" s="1">
        <v>63745</v>
      </c>
      <c r="F723" s="2" t="s">
        <v>1188</v>
      </c>
      <c r="G723" s="3" t="s">
        <v>24</v>
      </c>
      <c r="H723" s="1">
        <v>41</v>
      </c>
      <c r="I723" s="1">
        <v>2</v>
      </c>
      <c r="J723"/>
      <c r="K723"/>
      <c r="L723"/>
    </row>
    <row r="724" spans="1:12" x14ac:dyDescent="0.3">
      <c r="A724" s="1">
        <v>5723</v>
      </c>
      <c r="B724" s="3" t="s">
        <v>1189</v>
      </c>
      <c r="C724" s="3" t="s">
        <v>35</v>
      </c>
      <c r="D724" s="3" t="s">
        <v>16</v>
      </c>
      <c r="E724" s="1">
        <v>51054</v>
      </c>
      <c r="F724" s="2" t="s">
        <v>1190</v>
      </c>
      <c r="G724" s="3" t="s">
        <v>24</v>
      </c>
      <c r="H724" s="1">
        <v>38</v>
      </c>
      <c r="I724" s="1">
        <v>2</v>
      </c>
      <c r="J724"/>
      <c r="K724"/>
      <c r="L724"/>
    </row>
    <row r="725" spans="1:12" x14ac:dyDescent="0.3">
      <c r="A725" s="1">
        <v>5724</v>
      </c>
      <c r="B725" s="3" t="s">
        <v>1191</v>
      </c>
      <c r="C725" s="3" t="s">
        <v>39</v>
      </c>
      <c r="D725" s="3" t="s">
        <v>20</v>
      </c>
      <c r="E725" s="1">
        <v>65315</v>
      </c>
      <c r="F725" s="2" t="s">
        <v>1192</v>
      </c>
      <c r="G725" s="3" t="s">
        <v>1534</v>
      </c>
      <c r="H725" s="1">
        <v>26</v>
      </c>
      <c r="I725" s="1">
        <v>5</v>
      </c>
      <c r="J725"/>
      <c r="K725"/>
      <c r="L725"/>
    </row>
    <row r="726" spans="1:12" x14ac:dyDescent="0.3">
      <c r="A726" s="1">
        <v>5725</v>
      </c>
      <c r="B726" s="3" t="s">
        <v>1193</v>
      </c>
      <c r="C726" s="3" t="s">
        <v>35</v>
      </c>
      <c r="D726" s="3" t="s">
        <v>30</v>
      </c>
      <c r="E726" s="1">
        <v>39398</v>
      </c>
      <c r="F726" s="2" t="s">
        <v>1194</v>
      </c>
      <c r="G726" s="3" t="s">
        <v>13</v>
      </c>
      <c r="H726" s="1">
        <v>51</v>
      </c>
      <c r="I726" s="1">
        <v>5</v>
      </c>
      <c r="J726"/>
      <c r="K726"/>
      <c r="L726"/>
    </row>
    <row r="727" spans="1:12" x14ac:dyDescent="0.3">
      <c r="A727" s="1">
        <v>5726</v>
      </c>
      <c r="B727" s="3" t="s">
        <v>470</v>
      </c>
      <c r="C727" s="3" t="s">
        <v>39</v>
      </c>
      <c r="D727" s="3" t="s">
        <v>11</v>
      </c>
      <c r="E727" s="1">
        <v>49432</v>
      </c>
      <c r="F727" s="2" t="s">
        <v>1195</v>
      </c>
      <c r="G727" s="3" t="s">
        <v>24</v>
      </c>
      <c r="H727" s="1">
        <v>26</v>
      </c>
      <c r="I727" s="1">
        <v>3</v>
      </c>
      <c r="J727"/>
      <c r="K727"/>
      <c r="L727"/>
    </row>
    <row r="728" spans="1:12" x14ac:dyDescent="0.3">
      <c r="A728" s="1">
        <v>5727</v>
      </c>
      <c r="B728" s="3" t="s">
        <v>586</v>
      </c>
      <c r="C728" s="3" t="s">
        <v>70</v>
      </c>
      <c r="D728" s="3" t="s">
        <v>20</v>
      </c>
      <c r="E728" s="1">
        <v>63673</v>
      </c>
      <c r="F728" s="2" t="s">
        <v>1196</v>
      </c>
      <c r="G728" s="3" t="s">
        <v>13</v>
      </c>
      <c r="H728" s="1">
        <v>25</v>
      </c>
      <c r="I728" s="1">
        <v>5</v>
      </c>
      <c r="J728"/>
      <c r="K728"/>
      <c r="L728"/>
    </row>
    <row r="729" spans="1:12" x14ac:dyDescent="0.3">
      <c r="A729" s="1">
        <v>5728</v>
      </c>
      <c r="B729" s="3" t="s">
        <v>697</v>
      </c>
      <c r="C729" s="3" t="s">
        <v>44</v>
      </c>
      <c r="D729" s="3" t="s">
        <v>52</v>
      </c>
      <c r="E729" s="1">
        <v>81747</v>
      </c>
      <c r="F729" s="2" t="s">
        <v>1043</v>
      </c>
      <c r="G729" s="3" t="s">
        <v>13</v>
      </c>
      <c r="H729" s="1">
        <v>52</v>
      </c>
      <c r="I729" s="1">
        <v>2</v>
      </c>
      <c r="J729"/>
      <c r="K729"/>
      <c r="L729"/>
    </row>
    <row r="730" spans="1:12" x14ac:dyDescent="0.3">
      <c r="A730" s="1">
        <v>5729</v>
      </c>
      <c r="B730" s="3" t="s">
        <v>1585</v>
      </c>
      <c r="C730" s="3" t="s">
        <v>70</v>
      </c>
      <c r="D730" s="3" t="s">
        <v>52</v>
      </c>
      <c r="E730" s="1">
        <v>95020</v>
      </c>
      <c r="F730" s="2" t="s">
        <v>1197</v>
      </c>
      <c r="G730" s="3" t="s">
        <v>13</v>
      </c>
      <c r="H730" s="1">
        <v>41</v>
      </c>
      <c r="I730" s="1">
        <v>1</v>
      </c>
      <c r="J730"/>
      <c r="K730"/>
      <c r="L730"/>
    </row>
    <row r="731" spans="1:12" x14ac:dyDescent="0.3">
      <c r="A731" s="1">
        <v>5730</v>
      </c>
      <c r="B731" s="3" t="s">
        <v>1198</v>
      </c>
      <c r="C731" s="3" t="s">
        <v>35</v>
      </c>
      <c r="D731" s="3" t="s">
        <v>16</v>
      </c>
      <c r="E731" s="1">
        <v>121102</v>
      </c>
      <c r="F731" s="2" t="s">
        <v>1199</v>
      </c>
      <c r="G731" s="3" t="s">
        <v>13</v>
      </c>
      <c r="H731" s="1">
        <v>38</v>
      </c>
      <c r="I731" s="1">
        <v>3</v>
      </c>
      <c r="J731"/>
      <c r="K731"/>
      <c r="L731"/>
    </row>
    <row r="732" spans="1:12" x14ac:dyDescent="0.3">
      <c r="A732" s="1">
        <v>5731</v>
      </c>
      <c r="B732" s="3" t="s">
        <v>1200</v>
      </c>
      <c r="C732" s="3" t="s">
        <v>39</v>
      </c>
      <c r="D732" s="3" t="s">
        <v>20</v>
      </c>
      <c r="E732" s="1">
        <v>103296</v>
      </c>
      <c r="F732" s="2" t="s">
        <v>1201</v>
      </c>
      <c r="G732" s="3" t="s">
        <v>24</v>
      </c>
      <c r="H732" s="1">
        <v>46</v>
      </c>
      <c r="I732" s="1">
        <v>5</v>
      </c>
      <c r="J732"/>
      <c r="K732"/>
      <c r="L732"/>
    </row>
    <row r="733" spans="1:12" x14ac:dyDescent="0.3">
      <c r="A733" s="1">
        <v>5732</v>
      </c>
      <c r="B733" s="3" t="s">
        <v>581</v>
      </c>
      <c r="C733" s="3" t="s">
        <v>26</v>
      </c>
      <c r="D733" s="3" t="s">
        <v>20</v>
      </c>
      <c r="E733" s="1">
        <v>109630</v>
      </c>
      <c r="F733" s="2" t="s">
        <v>1202</v>
      </c>
      <c r="G733" s="3" t="s">
        <v>13</v>
      </c>
      <c r="H733" s="1">
        <v>44</v>
      </c>
      <c r="I733" s="1">
        <v>5</v>
      </c>
      <c r="J733"/>
      <c r="K733"/>
      <c r="L733"/>
    </row>
    <row r="734" spans="1:12" x14ac:dyDescent="0.3">
      <c r="A734" s="1">
        <v>5733</v>
      </c>
      <c r="B734" s="3" t="s">
        <v>1203</v>
      </c>
      <c r="C734" s="3" t="s">
        <v>44</v>
      </c>
      <c r="D734" s="3" t="s">
        <v>20</v>
      </c>
      <c r="E734" s="1">
        <v>146943</v>
      </c>
      <c r="F734" s="2" t="s">
        <v>1204</v>
      </c>
      <c r="G734" s="3" t="s">
        <v>13</v>
      </c>
      <c r="H734" s="1">
        <v>25</v>
      </c>
      <c r="I734" s="1">
        <v>4</v>
      </c>
      <c r="J734"/>
      <c r="K734"/>
      <c r="L734"/>
    </row>
    <row r="735" spans="1:12" x14ac:dyDescent="0.3">
      <c r="A735" s="1">
        <v>5734</v>
      </c>
      <c r="B735" s="3" t="s">
        <v>1205</v>
      </c>
      <c r="C735" s="3" t="s">
        <v>63</v>
      </c>
      <c r="D735" s="3" t="s">
        <v>49</v>
      </c>
      <c r="E735" s="1">
        <v>54437</v>
      </c>
      <c r="F735" s="2" t="s">
        <v>1206</v>
      </c>
      <c r="G735" s="3" t="s">
        <v>1534</v>
      </c>
      <c r="H735" s="1">
        <v>21</v>
      </c>
      <c r="I735" s="1">
        <v>4</v>
      </c>
      <c r="J735"/>
      <c r="K735"/>
      <c r="L735"/>
    </row>
    <row r="736" spans="1:12" x14ac:dyDescent="0.3">
      <c r="A736" s="1">
        <v>5735</v>
      </c>
      <c r="B736" s="3" t="s">
        <v>220</v>
      </c>
      <c r="C736" s="3" t="s">
        <v>79</v>
      </c>
      <c r="D736" s="3" t="s">
        <v>61</v>
      </c>
      <c r="E736" s="1">
        <v>84417</v>
      </c>
      <c r="F736" s="2" t="s">
        <v>1207</v>
      </c>
      <c r="G736" s="3" t="s">
        <v>24</v>
      </c>
      <c r="H736" s="1">
        <v>24</v>
      </c>
      <c r="I736" s="1">
        <v>2</v>
      </c>
      <c r="J736"/>
      <c r="K736"/>
      <c r="L736"/>
    </row>
    <row r="737" spans="1:12" x14ac:dyDescent="0.3">
      <c r="A737" s="1">
        <v>5736</v>
      </c>
      <c r="B737" s="3" t="s">
        <v>513</v>
      </c>
      <c r="C737" s="3" t="s">
        <v>44</v>
      </c>
      <c r="D737" s="3" t="s">
        <v>30</v>
      </c>
      <c r="E737" s="1">
        <v>84126</v>
      </c>
      <c r="F737" s="2" t="s">
        <v>28</v>
      </c>
      <c r="G737" s="3" t="s">
        <v>13</v>
      </c>
      <c r="H737" s="1">
        <v>40</v>
      </c>
      <c r="I737" s="1">
        <v>4</v>
      </c>
      <c r="J737"/>
      <c r="K737"/>
      <c r="L737"/>
    </row>
    <row r="738" spans="1:12" x14ac:dyDescent="0.3">
      <c r="A738" s="1">
        <v>5737</v>
      </c>
      <c r="B738" s="3" t="s">
        <v>1208</v>
      </c>
      <c r="C738" s="3" t="s">
        <v>35</v>
      </c>
      <c r="D738" s="3" t="s">
        <v>52</v>
      </c>
      <c r="E738" s="1">
        <v>129717</v>
      </c>
      <c r="F738" s="2" t="s">
        <v>1209</v>
      </c>
      <c r="G738" s="3" t="s">
        <v>24</v>
      </c>
      <c r="H738" s="1">
        <v>39</v>
      </c>
      <c r="I738" s="1">
        <v>4</v>
      </c>
      <c r="J738"/>
      <c r="K738"/>
      <c r="L738"/>
    </row>
    <row r="739" spans="1:12" x14ac:dyDescent="0.3">
      <c r="A739" s="1">
        <v>5738</v>
      </c>
      <c r="B739" s="3" t="s">
        <v>490</v>
      </c>
      <c r="C739" s="3" t="s">
        <v>26</v>
      </c>
      <c r="D739" s="3" t="s">
        <v>36</v>
      </c>
      <c r="E739" s="1">
        <v>63516</v>
      </c>
      <c r="F739" s="2" t="s">
        <v>1210</v>
      </c>
      <c r="G739" s="3" t="s">
        <v>13</v>
      </c>
      <c r="H739" s="1">
        <v>43</v>
      </c>
      <c r="I739" s="1">
        <v>4</v>
      </c>
      <c r="J739"/>
      <c r="K739"/>
      <c r="L739"/>
    </row>
    <row r="740" spans="1:12" x14ac:dyDescent="0.3">
      <c r="A740" s="1">
        <v>5739</v>
      </c>
      <c r="B740" s="3" t="s">
        <v>1211</v>
      </c>
      <c r="C740" s="3" t="s">
        <v>15</v>
      </c>
      <c r="D740" s="3" t="s">
        <v>20</v>
      </c>
      <c r="E740" s="1">
        <v>87520</v>
      </c>
      <c r="F740" s="2" t="s">
        <v>1212</v>
      </c>
      <c r="G740" s="3" t="s">
        <v>24</v>
      </c>
      <c r="H740" s="1">
        <v>21</v>
      </c>
      <c r="I740" s="1">
        <v>1</v>
      </c>
      <c r="J740"/>
      <c r="K740"/>
      <c r="L740"/>
    </row>
    <row r="741" spans="1:12" x14ac:dyDescent="0.3">
      <c r="A741" s="1">
        <v>5740</v>
      </c>
      <c r="B741" s="3" t="s">
        <v>880</v>
      </c>
      <c r="C741" s="3" t="s">
        <v>44</v>
      </c>
      <c r="D741" s="3" t="s">
        <v>87</v>
      </c>
      <c r="E741" s="1">
        <v>83251</v>
      </c>
      <c r="F741" s="2" t="s">
        <v>1213</v>
      </c>
      <c r="G741" s="3" t="s">
        <v>24</v>
      </c>
      <c r="H741" s="1">
        <v>30</v>
      </c>
      <c r="I741" s="1">
        <v>3</v>
      </c>
      <c r="J741"/>
      <c r="K741"/>
      <c r="L741"/>
    </row>
    <row r="742" spans="1:12" x14ac:dyDescent="0.3">
      <c r="A742" s="1">
        <v>5741</v>
      </c>
      <c r="B742" s="3" t="s">
        <v>1214</v>
      </c>
      <c r="C742" s="3" t="s">
        <v>44</v>
      </c>
      <c r="D742" s="3" t="s">
        <v>30</v>
      </c>
      <c r="E742" s="1">
        <v>74311</v>
      </c>
      <c r="F742" s="2" t="s">
        <v>1215</v>
      </c>
      <c r="G742" s="3" t="s">
        <v>24</v>
      </c>
      <c r="H742" s="1">
        <v>26</v>
      </c>
      <c r="I742" s="1">
        <v>3</v>
      </c>
      <c r="J742"/>
      <c r="K742"/>
      <c r="L742"/>
    </row>
    <row r="743" spans="1:12" x14ac:dyDescent="0.3">
      <c r="A743" s="1">
        <v>5742</v>
      </c>
      <c r="B743" s="3" t="s">
        <v>1216</v>
      </c>
      <c r="C743" s="3" t="s">
        <v>39</v>
      </c>
      <c r="D743" s="3" t="s">
        <v>16</v>
      </c>
      <c r="E743" s="1">
        <v>52051</v>
      </c>
      <c r="F743" s="2" t="s">
        <v>1217</v>
      </c>
      <c r="G743" s="3" t="s">
        <v>24</v>
      </c>
      <c r="H743" s="1">
        <v>49</v>
      </c>
      <c r="I743" s="1">
        <v>2</v>
      </c>
      <c r="J743"/>
      <c r="K743"/>
      <c r="L743"/>
    </row>
    <row r="744" spans="1:12" x14ac:dyDescent="0.3">
      <c r="A744" s="1">
        <v>5743</v>
      </c>
      <c r="B744" s="3" t="s">
        <v>1586</v>
      </c>
      <c r="C744" s="3" t="s">
        <v>35</v>
      </c>
      <c r="D744" s="3" t="s">
        <v>27</v>
      </c>
      <c r="E744" s="1">
        <v>125418</v>
      </c>
      <c r="F744" s="2" t="s">
        <v>1218</v>
      </c>
      <c r="G744" s="3" t="s">
        <v>13</v>
      </c>
      <c r="H744" s="1">
        <v>28</v>
      </c>
      <c r="I744" s="1">
        <v>2</v>
      </c>
      <c r="J744"/>
      <c r="K744"/>
      <c r="L744"/>
    </row>
    <row r="745" spans="1:12" x14ac:dyDescent="0.3">
      <c r="A745" s="1">
        <v>5744</v>
      </c>
      <c r="B745" s="3" t="s">
        <v>1219</v>
      </c>
      <c r="C745" s="3" t="s">
        <v>35</v>
      </c>
      <c r="D745" s="3" t="s">
        <v>20</v>
      </c>
      <c r="E745" s="1">
        <v>29626</v>
      </c>
      <c r="F745" s="2" t="s">
        <v>1220</v>
      </c>
      <c r="G745" s="3" t="s">
        <v>24</v>
      </c>
      <c r="H745" s="1">
        <v>42</v>
      </c>
      <c r="I745" s="1">
        <v>4</v>
      </c>
      <c r="J745"/>
      <c r="K745"/>
      <c r="L745"/>
    </row>
    <row r="746" spans="1:12" x14ac:dyDescent="0.3">
      <c r="A746" s="1">
        <v>5745</v>
      </c>
      <c r="B746" s="3" t="s">
        <v>1221</v>
      </c>
      <c r="C746" s="3" t="s">
        <v>26</v>
      </c>
      <c r="D746" s="3" t="s">
        <v>11</v>
      </c>
      <c r="E746" s="1">
        <v>145213</v>
      </c>
      <c r="F746" s="2" t="s">
        <v>1222</v>
      </c>
      <c r="G746" s="3" t="s">
        <v>13</v>
      </c>
      <c r="H746" s="1">
        <v>26</v>
      </c>
      <c r="I746" s="1">
        <v>2</v>
      </c>
      <c r="J746"/>
      <c r="K746"/>
      <c r="L746"/>
    </row>
    <row r="747" spans="1:12" x14ac:dyDescent="0.3">
      <c r="A747" s="1">
        <v>5746</v>
      </c>
      <c r="B747" s="3" t="s">
        <v>1117</v>
      </c>
      <c r="C747" s="3" t="s">
        <v>79</v>
      </c>
      <c r="D747" s="3" t="s">
        <v>61</v>
      </c>
      <c r="E747" s="1">
        <v>134875</v>
      </c>
      <c r="F747" s="2" t="s">
        <v>1223</v>
      </c>
      <c r="G747" s="3" t="s">
        <v>24</v>
      </c>
      <c r="H747" s="1">
        <v>38</v>
      </c>
      <c r="I747" s="1">
        <v>2</v>
      </c>
      <c r="J747"/>
      <c r="K747"/>
      <c r="L747"/>
    </row>
    <row r="748" spans="1:12" x14ac:dyDescent="0.3">
      <c r="A748" s="1">
        <v>5747</v>
      </c>
      <c r="B748" s="3" t="s">
        <v>1224</v>
      </c>
      <c r="C748" s="3" t="s">
        <v>39</v>
      </c>
      <c r="D748" s="3" t="s">
        <v>61</v>
      </c>
      <c r="E748" s="1">
        <v>53405</v>
      </c>
      <c r="F748" s="2" t="s">
        <v>1225</v>
      </c>
      <c r="G748" s="3" t="s">
        <v>24</v>
      </c>
      <c r="H748" s="1">
        <v>43</v>
      </c>
      <c r="I748" s="1">
        <v>1</v>
      </c>
      <c r="J748"/>
      <c r="K748"/>
      <c r="L748"/>
    </row>
    <row r="749" spans="1:12" x14ac:dyDescent="0.3">
      <c r="A749" s="1">
        <v>5748</v>
      </c>
      <c r="B749" s="3" t="s">
        <v>880</v>
      </c>
      <c r="C749" s="3" t="s">
        <v>39</v>
      </c>
      <c r="D749" s="3" t="s">
        <v>16</v>
      </c>
      <c r="E749" s="1">
        <v>133043</v>
      </c>
      <c r="F749" s="2" t="s">
        <v>1226</v>
      </c>
      <c r="G749" s="3" t="s">
        <v>13</v>
      </c>
      <c r="H749" s="1">
        <v>47</v>
      </c>
      <c r="I749" s="1">
        <v>1</v>
      </c>
      <c r="J749"/>
      <c r="K749"/>
      <c r="L749"/>
    </row>
    <row r="750" spans="1:12" x14ac:dyDescent="0.3">
      <c r="A750" s="1">
        <v>5749</v>
      </c>
      <c r="B750" s="3" t="s">
        <v>136</v>
      </c>
      <c r="C750" s="3" t="s">
        <v>44</v>
      </c>
      <c r="D750" s="3" t="s">
        <v>16</v>
      </c>
      <c r="E750" s="1">
        <v>111506</v>
      </c>
      <c r="F750" s="2" t="s">
        <v>1227</v>
      </c>
      <c r="G750" s="3" t="s">
        <v>24</v>
      </c>
      <c r="H750" s="1">
        <v>47</v>
      </c>
      <c r="I750" s="1">
        <v>1</v>
      </c>
      <c r="J750"/>
      <c r="K750"/>
      <c r="L750"/>
    </row>
    <row r="751" spans="1:12" x14ac:dyDescent="0.3">
      <c r="A751" s="1">
        <v>5750</v>
      </c>
      <c r="B751" s="3" t="s">
        <v>1228</v>
      </c>
      <c r="C751" s="3" t="s">
        <v>70</v>
      </c>
      <c r="D751" s="3" t="s">
        <v>52</v>
      </c>
      <c r="E751" s="1">
        <v>34991</v>
      </c>
      <c r="F751" s="2" t="s">
        <v>270</v>
      </c>
      <c r="G751" s="3" t="s">
        <v>24</v>
      </c>
      <c r="H751" s="1">
        <v>46</v>
      </c>
      <c r="I751" s="1">
        <v>1</v>
      </c>
      <c r="J751"/>
      <c r="K751"/>
      <c r="L751"/>
    </row>
    <row r="752" spans="1:12" x14ac:dyDescent="0.3">
      <c r="A752" s="1">
        <v>5751</v>
      </c>
      <c r="B752" s="3" t="s">
        <v>243</v>
      </c>
      <c r="C752" s="3" t="s">
        <v>63</v>
      </c>
      <c r="D752" s="3" t="s">
        <v>16</v>
      </c>
      <c r="E752" s="1">
        <v>87520</v>
      </c>
      <c r="F752" s="2" t="s">
        <v>1229</v>
      </c>
      <c r="G752" s="3" t="s">
        <v>24</v>
      </c>
      <c r="H752" s="1">
        <v>30</v>
      </c>
      <c r="I752" s="1">
        <v>4</v>
      </c>
      <c r="J752"/>
      <c r="K752"/>
      <c r="L752"/>
    </row>
    <row r="753" spans="1:12" x14ac:dyDescent="0.3">
      <c r="A753" s="1">
        <v>5752</v>
      </c>
      <c r="B753" s="3" t="s">
        <v>1230</v>
      </c>
      <c r="C753" s="3" t="s">
        <v>19</v>
      </c>
      <c r="D753" s="3" t="s">
        <v>87</v>
      </c>
      <c r="E753" s="1">
        <v>45106</v>
      </c>
      <c r="F753" s="2" t="s">
        <v>1231</v>
      </c>
      <c r="G753" s="3" t="s">
        <v>13</v>
      </c>
      <c r="H753" s="1">
        <v>29</v>
      </c>
      <c r="I753" s="1">
        <v>3</v>
      </c>
      <c r="J753"/>
      <c r="K753"/>
      <c r="L753"/>
    </row>
    <row r="754" spans="1:12" x14ac:dyDescent="0.3">
      <c r="A754" s="1">
        <v>5753</v>
      </c>
      <c r="B754" s="3" t="s">
        <v>1079</v>
      </c>
      <c r="C754" s="3" t="s">
        <v>19</v>
      </c>
      <c r="D754" s="3" t="s">
        <v>52</v>
      </c>
      <c r="E754" s="1">
        <v>105851</v>
      </c>
      <c r="F754" s="2" t="s">
        <v>1232</v>
      </c>
      <c r="G754" s="3" t="s">
        <v>24</v>
      </c>
      <c r="H754" s="1">
        <v>25</v>
      </c>
      <c r="I754" s="1">
        <v>5</v>
      </c>
      <c r="J754"/>
      <c r="K754"/>
      <c r="L754"/>
    </row>
    <row r="755" spans="1:12" x14ac:dyDescent="0.3">
      <c r="A755" s="1">
        <v>5754</v>
      </c>
      <c r="B755" s="3" t="s">
        <v>1233</v>
      </c>
      <c r="C755" s="3" t="s">
        <v>26</v>
      </c>
      <c r="D755" s="3" t="s">
        <v>87</v>
      </c>
      <c r="E755" s="1">
        <v>67886</v>
      </c>
      <c r="F755" s="2" t="s">
        <v>205</v>
      </c>
      <c r="G755" s="3" t="s">
        <v>13</v>
      </c>
      <c r="H755" s="1">
        <v>26</v>
      </c>
      <c r="I755" s="1">
        <v>4</v>
      </c>
      <c r="J755"/>
      <c r="K755"/>
      <c r="L755"/>
    </row>
    <row r="756" spans="1:12" x14ac:dyDescent="0.3">
      <c r="A756" s="1">
        <v>5755</v>
      </c>
      <c r="B756" s="3" t="s">
        <v>1234</v>
      </c>
      <c r="C756" s="3" t="s">
        <v>63</v>
      </c>
      <c r="D756" s="3" t="s">
        <v>30</v>
      </c>
      <c r="E756" s="1">
        <v>122809</v>
      </c>
      <c r="F756" s="2" t="s">
        <v>884</v>
      </c>
      <c r="G756" s="3" t="s">
        <v>24</v>
      </c>
      <c r="H756" s="1">
        <v>38</v>
      </c>
      <c r="I756" s="1">
        <v>3</v>
      </c>
      <c r="J756"/>
      <c r="K756"/>
      <c r="L756"/>
    </row>
    <row r="757" spans="1:12" x14ac:dyDescent="0.3">
      <c r="A757" s="1">
        <v>5756</v>
      </c>
      <c r="B757" s="3" t="s">
        <v>1170</v>
      </c>
      <c r="C757" s="3" t="s">
        <v>15</v>
      </c>
      <c r="D757" s="3" t="s">
        <v>49</v>
      </c>
      <c r="E757" s="1">
        <v>48127</v>
      </c>
      <c r="F757" s="2" t="s">
        <v>888</v>
      </c>
      <c r="G757" s="3" t="s">
        <v>24</v>
      </c>
      <c r="H757" s="1">
        <v>51</v>
      </c>
      <c r="I757" s="1">
        <v>3</v>
      </c>
      <c r="J757"/>
      <c r="K757"/>
      <c r="L757"/>
    </row>
    <row r="758" spans="1:12" x14ac:dyDescent="0.3">
      <c r="A758" s="1">
        <v>5757</v>
      </c>
      <c r="B758" s="3" t="s">
        <v>1235</v>
      </c>
      <c r="C758" s="3" t="s">
        <v>19</v>
      </c>
      <c r="D758" s="3" t="s">
        <v>20</v>
      </c>
      <c r="E758" s="1">
        <v>129594</v>
      </c>
      <c r="F758" s="2" t="s">
        <v>1236</v>
      </c>
      <c r="G758" s="3" t="s">
        <v>1534</v>
      </c>
      <c r="H758" s="1">
        <v>44</v>
      </c>
      <c r="I758" s="1">
        <v>5</v>
      </c>
      <c r="J758"/>
      <c r="K758"/>
      <c r="L758"/>
    </row>
    <row r="759" spans="1:12" x14ac:dyDescent="0.3">
      <c r="A759" s="1">
        <v>5758</v>
      </c>
      <c r="B759" s="3" t="s">
        <v>1095</v>
      </c>
      <c r="C759" s="3" t="s">
        <v>79</v>
      </c>
      <c r="D759" s="3" t="s">
        <v>87</v>
      </c>
      <c r="E759" s="1">
        <v>32054</v>
      </c>
      <c r="F759" s="2" t="s">
        <v>1237</v>
      </c>
      <c r="G759" s="3" t="s">
        <v>13</v>
      </c>
      <c r="H759" s="1">
        <v>55</v>
      </c>
      <c r="I759" s="1">
        <v>1</v>
      </c>
      <c r="J759"/>
      <c r="K759"/>
      <c r="L759"/>
    </row>
    <row r="760" spans="1:12" x14ac:dyDescent="0.3">
      <c r="A760" s="1">
        <v>5759</v>
      </c>
      <c r="B760" s="3" t="s">
        <v>1238</v>
      </c>
      <c r="C760" s="3" t="s">
        <v>39</v>
      </c>
      <c r="D760" s="3" t="s">
        <v>27</v>
      </c>
      <c r="E760" s="1">
        <v>112655</v>
      </c>
      <c r="F760" s="2" t="s">
        <v>372</v>
      </c>
      <c r="G760" s="3" t="s">
        <v>24</v>
      </c>
      <c r="H760" s="1">
        <v>26</v>
      </c>
      <c r="I760" s="1">
        <v>1</v>
      </c>
      <c r="J760"/>
      <c r="K760"/>
      <c r="L760"/>
    </row>
    <row r="761" spans="1:12" x14ac:dyDescent="0.3">
      <c r="A761" s="1">
        <v>5760</v>
      </c>
      <c r="B761" s="3" t="s">
        <v>1198</v>
      </c>
      <c r="C761" s="3" t="s">
        <v>39</v>
      </c>
      <c r="D761" s="3" t="s">
        <v>52</v>
      </c>
      <c r="E761" s="1">
        <v>34576</v>
      </c>
      <c r="F761" s="2" t="s">
        <v>1239</v>
      </c>
      <c r="G761" s="3" t="s">
        <v>13</v>
      </c>
      <c r="H761" s="1">
        <v>31</v>
      </c>
      <c r="I761" s="1">
        <v>4</v>
      </c>
      <c r="J761"/>
      <c r="K761"/>
      <c r="L761"/>
    </row>
    <row r="762" spans="1:12" x14ac:dyDescent="0.3">
      <c r="A762" s="1">
        <v>5761</v>
      </c>
      <c r="B762" s="3" t="s">
        <v>1240</v>
      </c>
      <c r="C762" s="3" t="s">
        <v>35</v>
      </c>
      <c r="D762" s="3" t="s">
        <v>49</v>
      </c>
      <c r="E762" s="1">
        <v>134574</v>
      </c>
      <c r="F762" s="2" t="s">
        <v>1241</v>
      </c>
      <c r="G762" s="3" t="s">
        <v>24</v>
      </c>
      <c r="H762" s="1">
        <v>34</v>
      </c>
      <c r="I762" s="1">
        <v>1</v>
      </c>
      <c r="J762"/>
      <c r="K762"/>
      <c r="L762"/>
    </row>
    <row r="763" spans="1:12" x14ac:dyDescent="0.3">
      <c r="A763" s="1">
        <v>5762</v>
      </c>
      <c r="B763" s="3" t="s">
        <v>1242</v>
      </c>
      <c r="C763" s="3" t="s">
        <v>35</v>
      </c>
      <c r="D763" s="3" t="s">
        <v>11</v>
      </c>
      <c r="E763" s="1">
        <v>75631</v>
      </c>
      <c r="F763" s="2" t="s">
        <v>952</v>
      </c>
      <c r="G763" s="3" t="s">
        <v>13</v>
      </c>
      <c r="H763" s="1">
        <v>21</v>
      </c>
      <c r="I763" s="1">
        <v>4</v>
      </c>
      <c r="J763"/>
      <c r="K763"/>
      <c r="L763"/>
    </row>
    <row r="764" spans="1:12" x14ac:dyDescent="0.3">
      <c r="A764" s="1">
        <v>5763</v>
      </c>
      <c r="B764" s="3" t="s">
        <v>1243</v>
      </c>
      <c r="C764" s="3" t="s">
        <v>19</v>
      </c>
      <c r="D764" s="3" t="s">
        <v>27</v>
      </c>
      <c r="E764" s="1">
        <v>53454</v>
      </c>
      <c r="F764" s="2" t="s">
        <v>1244</v>
      </c>
      <c r="G764" s="3" t="s">
        <v>13</v>
      </c>
      <c r="H764" s="1">
        <v>29</v>
      </c>
      <c r="I764" s="1">
        <v>4</v>
      </c>
      <c r="J764"/>
      <c r="K764"/>
      <c r="L764"/>
    </row>
    <row r="765" spans="1:12" x14ac:dyDescent="0.3">
      <c r="A765" s="1">
        <v>5764</v>
      </c>
      <c r="B765" s="3" t="s">
        <v>1187</v>
      </c>
      <c r="C765" s="3" t="s">
        <v>44</v>
      </c>
      <c r="D765" s="3" t="s">
        <v>36</v>
      </c>
      <c r="E765" s="1">
        <v>87520</v>
      </c>
      <c r="F765" s="2" t="s">
        <v>1245</v>
      </c>
      <c r="G765" s="3" t="s">
        <v>24</v>
      </c>
      <c r="H765" s="1">
        <v>47</v>
      </c>
      <c r="I765" s="1">
        <v>4</v>
      </c>
      <c r="J765"/>
      <c r="K765"/>
      <c r="L765"/>
    </row>
    <row r="766" spans="1:12" x14ac:dyDescent="0.3">
      <c r="A766" s="1">
        <v>5765</v>
      </c>
      <c r="B766" s="3" t="s">
        <v>880</v>
      </c>
      <c r="C766" s="3" t="s">
        <v>79</v>
      </c>
      <c r="D766" s="3" t="s">
        <v>87</v>
      </c>
      <c r="E766" s="1">
        <v>68359</v>
      </c>
      <c r="F766" s="2" t="s">
        <v>1246</v>
      </c>
      <c r="G766" s="3" t="s">
        <v>13</v>
      </c>
      <c r="H766" s="1">
        <v>49</v>
      </c>
      <c r="I766" s="1">
        <v>1</v>
      </c>
      <c r="J766"/>
      <c r="K766"/>
      <c r="L766"/>
    </row>
    <row r="767" spans="1:12" x14ac:dyDescent="0.3">
      <c r="A767" s="1">
        <v>5766</v>
      </c>
      <c r="B767" s="3" t="s">
        <v>602</v>
      </c>
      <c r="C767" s="3" t="s">
        <v>44</v>
      </c>
      <c r="D767" s="3" t="s">
        <v>87</v>
      </c>
      <c r="E767" s="1">
        <v>93908</v>
      </c>
      <c r="F767" s="2" t="s">
        <v>1247</v>
      </c>
      <c r="G767" s="3" t="s">
        <v>24</v>
      </c>
      <c r="H767" s="1">
        <v>32</v>
      </c>
      <c r="I767" s="1">
        <v>2</v>
      </c>
      <c r="J767"/>
      <c r="K767"/>
      <c r="L767"/>
    </row>
    <row r="768" spans="1:12" x14ac:dyDescent="0.3">
      <c r="A768" s="1">
        <v>5767</v>
      </c>
      <c r="B768" s="3" t="s">
        <v>1248</v>
      </c>
      <c r="C768" s="3" t="s">
        <v>39</v>
      </c>
      <c r="D768" s="3" t="s">
        <v>27</v>
      </c>
      <c r="E768" s="1">
        <v>149594</v>
      </c>
      <c r="F768" s="2" t="s">
        <v>1249</v>
      </c>
      <c r="G768" s="3" t="s">
        <v>24</v>
      </c>
      <c r="H768" s="1">
        <v>53</v>
      </c>
      <c r="I768" s="1">
        <v>4</v>
      </c>
      <c r="J768"/>
      <c r="K768"/>
      <c r="L768"/>
    </row>
    <row r="769" spans="1:12" x14ac:dyDescent="0.3">
      <c r="A769" s="1">
        <v>5768</v>
      </c>
      <c r="B769" s="3" t="s">
        <v>1039</v>
      </c>
      <c r="C769" s="3" t="s">
        <v>44</v>
      </c>
      <c r="D769" s="3" t="s">
        <v>11</v>
      </c>
      <c r="E769" s="1">
        <v>87520</v>
      </c>
      <c r="F769" s="2" t="s">
        <v>1250</v>
      </c>
      <c r="G769" s="3" t="s">
        <v>24</v>
      </c>
      <c r="H769" s="1">
        <v>54</v>
      </c>
      <c r="I769" s="1">
        <v>1</v>
      </c>
      <c r="J769"/>
      <c r="K769"/>
      <c r="L769"/>
    </row>
    <row r="770" spans="1:12" x14ac:dyDescent="0.3">
      <c r="A770" s="1">
        <v>5769</v>
      </c>
      <c r="B770" s="3" t="s">
        <v>1251</v>
      </c>
      <c r="C770" s="3" t="s">
        <v>19</v>
      </c>
      <c r="D770" s="3" t="s">
        <v>11</v>
      </c>
      <c r="E770" s="1">
        <v>127207</v>
      </c>
      <c r="F770" s="2" t="s">
        <v>1252</v>
      </c>
      <c r="G770" s="3" t="s">
        <v>13</v>
      </c>
      <c r="H770" s="1">
        <v>55</v>
      </c>
      <c r="I770" s="1">
        <v>4</v>
      </c>
      <c r="J770"/>
      <c r="K770"/>
      <c r="L770"/>
    </row>
    <row r="771" spans="1:12" x14ac:dyDescent="0.3">
      <c r="A771" s="1">
        <v>5770</v>
      </c>
      <c r="B771" s="3" t="s">
        <v>1253</v>
      </c>
      <c r="C771" s="3" t="s">
        <v>63</v>
      </c>
      <c r="D771" s="3" t="s">
        <v>49</v>
      </c>
      <c r="E771" s="1">
        <v>123811</v>
      </c>
      <c r="F771" s="2" t="s">
        <v>454</v>
      </c>
      <c r="G771" s="3" t="s">
        <v>24</v>
      </c>
      <c r="H771" s="1">
        <v>39</v>
      </c>
      <c r="I771" s="1">
        <v>2</v>
      </c>
      <c r="J771"/>
      <c r="K771"/>
      <c r="L771"/>
    </row>
    <row r="772" spans="1:12" x14ac:dyDescent="0.3">
      <c r="A772" s="1">
        <v>5771</v>
      </c>
      <c r="B772" s="3" t="s">
        <v>1254</v>
      </c>
      <c r="C772" s="3" t="s">
        <v>15</v>
      </c>
      <c r="D772" s="3" t="s">
        <v>16</v>
      </c>
      <c r="E772" s="1">
        <v>149543</v>
      </c>
      <c r="F772" s="2" t="s">
        <v>1255</v>
      </c>
      <c r="G772" s="3" t="s">
        <v>13</v>
      </c>
      <c r="H772" s="1">
        <v>27</v>
      </c>
      <c r="I772" s="1">
        <v>3</v>
      </c>
      <c r="J772"/>
      <c r="K772"/>
      <c r="L772"/>
    </row>
    <row r="773" spans="1:12" x14ac:dyDescent="0.3">
      <c r="A773" s="1">
        <v>5772</v>
      </c>
      <c r="B773" s="3" t="s">
        <v>1256</v>
      </c>
      <c r="C773" s="3" t="s">
        <v>63</v>
      </c>
      <c r="D773" s="3" t="s">
        <v>30</v>
      </c>
      <c r="E773" s="1">
        <v>29925</v>
      </c>
      <c r="F773" s="2" t="s">
        <v>1257</v>
      </c>
      <c r="G773" s="3" t="s">
        <v>24</v>
      </c>
      <c r="H773" s="1">
        <v>27</v>
      </c>
      <c r="I773" s="1">
        <v>5</v>
      </c>
      <c r="J773"/>
      <c r="K773"/>
      <c r="L773"/>
    </row>
    <row r="774" spans="1:12" x14ac:dyDescent="0.3">
      <c r="A774" s="1">
        <v>5773</v>
      </c>
      <c r="B774" s="3" t="s">
        <v>383</v>
      </c>
      <c r="C774" s="3" t="s">
        <v>79</v>
      </c>
      <c r="D774" s="3" t="s">
        <v>20</v>
      </c>
      <c r="E774" s="1">
        <v>132354</v>
      </c>
      <c r="F774" s="2" t="s">
        <v>1258</v>
      </c>
      <c r="G774" s="3" t="s">
        <v>24</v>
      </c>
      <c r="H774" s="1">
        <v>33</v>
      </c>
      <c r="I774" s="1">
        <v>1</v>
      </c>
      <c r="J774"/>
      <c r="K774"/>
      <c r="L774"/>
    </row>
    <row r="775" spans="1:12" x14ac:dyDescent="0.3">
      <c r="A775" s="1">
        <v>5774</v>
      </c>
      <c r="B775" s="3" t="s">
        <v>1259</v>
      </c>
      <c r="C775" s="3" t="s">
        <v>79</v>
      </c>
      <c r="D775" s="3" t="s">
        <v>20</v>
      </c>
      <c r="E775" s="1">
        <v>141675</v>
      </c>
      <c r="F775" s="2" t="s">
        <v>768</v>
      </c>
      <c r="G775" s="3" t="s">
        <v>13</v>
      </c>
      <c r="H775" s="1">
        <v>43</v>
      </c>
      <c r="I775" s="1">
        <v>2</v>
      </c>
      <c r="J775"/>
      <c r="K775"/>
      <c r="L775"/>
    </row>
    <row r="776" spans="1:12" x14ac:dyDescent="0.3">
      <c r="A776" s="1">
        <v>5775</v>
      </c>
      <c r="B776" s="3" t="s">
        <v>1260</v>
      </c>
      <c r="C776" s="3" t="s">
        <v>79</v>
      </c>
      <c r="D776" s="3" t="s">
        <v>27</v>
      </c>
      <c r="E776" s="1">
        <v>71356</v>
      </c>
      <c r="F776" s="2" t="s">
        <v>1261</v>
      </c>
      <c r="G776" s="3" t="s">
        <v>24</v>
      </c>
      <c r="H776" s="1">
        <v>41</v>
      </c>
      <c r="I776" s="1">
        <v>1</v>
      </c>
      <c r="J776"/>
      <c r="K776"/>
      <c r="L776"/>
    </row>
    <row r="777" spans="1:12" x14ac:dyDescent="0.3">
      <c r="A777" s="1">
        <v>5776</v>
      </c>
      <c r="B777" s="3" t="s">
        <v>979</v>
      </c>
      <c r="C777" s="3" t="s">
        <v>70</v>
      </c>
      <c r="D777" s="3" t="s">
        <v>52</v>
      </c>
      <c r="E777" s="1">
        <v>92040</v>
      </c>
      <c r="F777" s="2" t="s">
        <v>1262</v>
      </c>
      <c r="G777" s="3" t="s">
        <v>13</v>
      </c>
      <c r="H777" s="1">
        <v>50</v>
      </c>
      <c r="I777" s="1">
        <v>4</v>
      </c>
      <c r="J777"/>
      <c r="K777"/>
      <c r="L777"/>
    </row>
    <row r="778" spans="1:12" x14ac:dyDescent="0.3">
      <c r="A778" s="1">
        <v>5777</v>
      </c>
      <c r="B778" s="3" t="s">
        <v>1263</v>
      </c>
      <c r="C778" s="3" t="s">
        <v>44</v>
      </c>
      <c r="D778" s="3" t="s">
        <v>27</v>
      </c>
      <c r="E778" s="1">
        <v>95659</v>
      </c>
      <c r="F778" s="2" t="s">
        <v>1264</v>
      </c>
      <c r="G778" s="3" t="s">
        <v>24</v>
      </c>
      <c r="H778" s="1">
        <v>39</v>
      </c>
      <c r="I778" s="1">
        <v>1</v>
      </c>
      <c r="J778"/>
      <c r="K778"/>
      <c r="L778"/>
    </row>
    <row r="779" spans="1:12" x14ac:dyDescent="0.3">
      <c r="A779" s="1">
        <v>5778</v>
      </c>
      <c r="B779" s="3" t="s">
        <v>1265</v>
      </c>
      <c r="C779" s="3" t="s">
        <v>39</v>
      </c>
      <c r="D779" s="3" t="s">
        <v>61</v>
      </c>
      <c r="E779" s="1">
        <v>36830</v>
      </c>
      <c r="F779" s="2" t="s">
        <v>619</v>
      </c>
      <c r="G779" s="3" t="s">
        <v>24</v>
      </c>
      <c r="H779" s="1">
        <v>36</v>
      </c>
      <c r="I779" s="1">
        <v>1</v>
      </c>
      <c r="J779"/>
      <c r="K779"/>
      <c r="L779"/>
    </row>
    <row r="780" spans="1:12" x14ac:dyDescent="0.3">
      <c r="A780" s="1">
        <v>5779</v>
      </c>
      <c r="B780" s="3" t="s">
        <v>1587</v>
      </c>
      <c r="C780" s="3" t="s">
        <v>19</v>
      </c>
      <c r="D780" s="3" t="s">
        <v>87</v>
      </c>
      <c r="E780" s="1">
        <v>79784</v>
      </c>
      <c r="F780" s="2" t="s">
        <v>406</v>
      </c>
      <c r="G780" s="3" t="s">
        <v>24</v>
      </c>
      <c r="H780" s="1">
        <v>48</v>
      </c>
      <c r="I780" s="1">
        <v>4</v>
      </c>
      <c r="J780"/>
      <c r="K780"/>
      <c r="L780"/>
    </row>
    <row r="781" spans="1:12" x14ac:dyDescent="0.3">
      <c r="A781" s="1">
        <v>5780</v>
      </c>
      <c r="B781" s="3" t="s">
        <v>933</v>
      </c>
      <c r="C781" s="3" t="s">
        <v>19</v>
      </c>
      <c r="D781" s="3" t="s">
        <v>52</v>
      </c>
      <c r="E781" s="1">
        <v>91732</v>
      </c>
      <c r="F781" s="2" t="s">
        <v>1266</v>
      </c>
      <c r="G781" s="3" t="s">
        <v>24</v>
      </c>
      <c r="H781" s="1">
        <v>36</v>
      </c>
      <c r="I781" s="1">
        <v>5</v>
      </c>
      <c r="J781"/>
      <c r="K781"/>
      <c r="L781"/>
    </row>
    <row r="782" spans="1:12" x14ac:dyDescent="0.3">
      <c r="A782" s="1">
        <v>5781</v>
      </c>
      <c r="B782" s="3" t="s">
        <v>653</v>
      </c>
      <c r="C782" s="3" t="s">
        <v>26</v>
      </c>
      <c r="D782" s="3" t="s">
        <v>20</v>
      </c>
      <c r="E782" s="1">
        <v>99626</v>
      </c>
      <c r="F782" s="2" t="s">
        <v>1267</v>
      </c>
      <c r="G782" s="3" t="s">
        <v>24</v>
      </c>
      <c r="H782" s="1">
        <v>34</v>
      </c>
      <c r="I782" s="1">
        <v>2</v>
      </c>
      <c r="J782"/>
      <c r="K782"/>
      <c r="L782"/>
    </row>
    <row r="783" spans="1:12" x14ac:dyDescent="0.3">
      <c r="A783" s="1">
        <v>5782</v>
      </c>
      <c r="B783" s="3" t="s">
        <v>1268</v>
      </c>
      <c r="C783" s="3" t="s">
        <v>35</v>
      </c>
      <c r="D783" s="3" t="s">
        <v>11</v>
      </c>
      <c r="E783" s="1">
        <v>125649</v>
      </c>
      <c r="F783" s="2" t="s">
        <v>1269</v>
      </c>
      <c r="G783" s="3" t="s">
        <v>13</v>
      </c>
      <c r="H783" s="1">
        <v>23</v>
      </c>
      <c r="I783" s="1">
        <v>3</v>
      </c>
      <c r="J783"/>
      <c r="K783"/>
      <c r="L783"/>
    </row>
    <row r="784" spans="1:12" x14ac:dyDescent="0.3">
      <c r="A784" s="1">
        <v>5783</v>
      </c>
      <c r="B784" s="3" t="s">
        <v>1270</v>
      </c>
      <c r="C784" s="3" t="s">
        <v>70</v>
      </c>
      <c r="D784" s="3" t="s">
        <v>61</v>
      </c>
      <c r="E784" s="1">
        <v>116154</v>
      </c>
      <c r="F784" s="2" t="s">
        <v>1271</v>
      </c>
      <c r="G784" s="3" t="s">
        <v>13</v>
      </c>
      <c r="H784" s="1">
        <v>51</v>
      </c>
      <c r="I784" s="1">
        <v>3</v>
      </c>
      <c r="J784"/>
      <c r="K784"/>
      <c r="L784"/>
    </row>
    <row r="785" spans="1:12" x14ac:dyDescent="0.3">
      <c r="A785" s="1">
        <v>5784</v>
      </c>
      <c r="B785" s="3" t="s">
        <v>1272</v>
      </c>
      <c r="C785" s="3" t="s">
        <v>44</v>
      </c>
      <c r="D785" s="3" t="s">
        <v>11</v>
      </c>
      <c r="E785" s="1">
        <v>80486</v>
      </c>
      <c r="F785" s="2" t="s">
        <v>1273</v>
      </c>
      <c r="G785" s="3" t="s">
        <v>13</v>
      </c>
      <c r="H785" s="1">
        <v>34</v>
      </c>
      <c r="I785" s="1">
        <v>3</v>
      </c>
      <c r="J785"/>
      <c r="K785"/>
      <c r="L785"/>
    </row>
    <row r="786" spans="1:12" x14ac:dyDescent="0.3">
      <c r="A786" s="1">
        <v>5785</v>
      </c>
      <c r="B786" s="3" t="s">
        <v>484</v>
      </c>
      <c r="C786" s="3" t="s">
        <v>70</v>
      </c>
      <c r="D786" s="3" t="s">
        <v>16</v>
      </c>
      <c r="E786" s="1">
        <v>87520</v>
      </c>
      <c r="F786" s="2" t="s">
        <v>1274</v>
      </c>
      <c r="G786" s="3" t="s">
        <v>13</v>
      </c>
      <c r="H786" s="1">
        <v>39</v>
      </c>
      <c r="I786" s="1">
        <v>3</v>
      </c>
      <c r="J786"/>
      <c r="K786"/>
      <c r="L786"/>
    </row>
    <row r="787" spans="1:12" x14ac:dyDescent="0.3">
      <c r="A787" s="1">
        <v>5786</v>
      </c>
      <c r="B787" s="3" t="s">
        <v>1275</v>
      </c>
      <c r="C787" s="3" t="s">
        <v>39</v>
      </c>
      <c r="D787" s="3" t="s">
        <v>16</v>
      </c>
      <c r="E787" s="1">
        <v>145061</v>
      </c>
      <c r="F787" s="2" t="s">
        <v>600</v>
      </c>
      <c r="G787" s="3" t="s">
        <v>13</v>
      </c>
      <c r="H787" s="1">
        <v>23</v>
      </c>
      <c r="I787" s="1">
        <v>3</v>
      </c>
      <c r="J787"/>
      <c r="K787"/>
      <c r="L787"/>
    </row>
    <row r="788" spans="1:12" x14ac:dyDescent="0.3">
      <c r="A788" s="1">
        <v>5787</v>
      </c>
      <c r="B788" s="3" t="s">
        <v>1276</v>
      </c>
      <c r="C788" s="3" t="s">
        <v>39</v>
      </c>
      <c r="D788" s="3" t="s">
        <v>49</v>
      </c>
      <c r="E788" s="1">
        <v>59194</v>
      </c>
      <c r="F788" s="2" t="s">
        <v>284</v>
      </c>
      <c r="G788" s="3" t="s">
        <v>13</v>
      </c>
      <c r="H788" s="1">
        <v>30</v>
      </c>
      <c r="I788" s="1">
        <v>1</v>
      </c>
      <c r="J788"/>
      <c r="K788"/>
      <c r="L788"/>
    </row>
    <row r="789" spans="1:12" x14ac:dyDescent="0.3">
      <c r="A789" s="1">
        <v>5788</v>
      </c>
      <c r="B789" s="3" t="s">
        <v>1277</v>
      </c>
      <c r="C789" s="3" t="s">
        <v>15</v>
      </c>
      <c r="D789" s="3" t="s">
        <v>49</v>
      </c>
      <c r="E789" s="1">
        <v>114300</v>
      </c>
      <c r="F789" s="2" t="s">
        <v>1278</v>
      </c>
      <c r="G789" s="3" t="s">
        <v>24</v>
      </c>
      <c r="H789" s="1">
        <v>46</v>
      </c>
      <c r="I789" s="1">
        <v>3</v>
      </c>
      <c r="J789"/>
      <c r="K789"/>
      <c r="L789"/>
    </row>
    <row r="790" spans="1:12" x14ac:dyDescent="0.3">
      <c r="A790" s="1">
        <v>5789</v>
      </c>
      <c r="B790" s="3" t="s">
        <v>906</v>
      </c>
      <c r="C790" s="3" t="s">
        <v>35</v>
      </c>
      <c r="D790" s="3" t="s">
        <v>49</v>
      </c>
      <c r="E790" s="1">
        <v>110782</v>
      </c>
      <c r="F790" s="2" t="s">
        <v>1279</v>
      </c>
      <c r="G790" s="3" t="s">
        <v>13</v>
      </c>
      <c r="H790" s="1">
        <v>25</v>
      </c>
      <c r="I790" s="1">
        <v>5</v>
      </c>
      <c r="J790"/>
      <c r="K790"/>
      <c r="L790"/>
    </row>
    <row r="791" spans="1:12" x14ac:dyDescent="0.3">
      <c r="A791" s="1">
        <v>5790</v>
      </c>
      <c r="B791" s="3" t="s">
        <v>1280</v>
      </c>
      <c r="C791" s="3" t="s">
        <v>79</v>
      </c>
      <c r="D791" s="3" t="s">
        <v>16</v>
      </c>
      <c r="E791" s="1">
        <v>66591</v>
      </c>
      <c r="F791" s="2" t="s">
        <v>1281</v>
      </c>
      <c r="G791" s="3" t="s">
        <v>24</v>
      </c>
      <c r="H791" s="1">
        <v>52</v>
      </c>
      <c r="I791" s="1">
        <v>2</v>
      </c>
      <c r="J791"/>
      <c r="K791"/>
      <c r="L791"/>
    </row>
    <row r="792" spans="1:12" x14ac:dyDescent="0.3">
      <c r="A792" s="1">
        <v>5791</v>
      </c>
      <c r="B792" s="3" t="s">
        <v>1282</v>
      </c>
      <c r="C792" s="3" t="s">
        <v>26</v>
      </c>
      <c r="D792" s="3" t="s">
        <v>87</v>
      </c>
      <c r="E792" s="1">
        <v>43537</v>
      </c>
      <c r="F792" s="2" t="s">
        <v>1283</v>
      </c>
      <c r="G792" s="3" t="s">
        <v>24</v>
      </c>
      <c r="H792" s="1">
        <v>23</v>
      </c>
      <c r="I792" s="1">
        <v>1</v>
      </c>
      <c r="J792"/>
      <c r="K792"/>
      <c r="L792"/>
    </row>
    <row r="793" spans="1:12" x14ac:dyDescent="0.3">
      <c r="A793" s="1">
        <v>5792</v>
      </c>
      <c r="B793" s="3" t="s">
        <v>1284</v>
      </c>
      <c r="C793" s="3" t="s">
        <v>19</v>
      </c>
      <c r="D793" s="3" t="s">
        <v>49</v>
      </c>
      <c r="E793" s="1">
        <v>128452</v>
      </c>
      <c r="F793" s="2" t="s">
        <v>1285</v>
      </c>
      <c r="G793" s="3" t="s">
        <v>24</v>
      </c>
      <c r="H793" s="1">
        <v>28</v>
      </c>
      <c r="I793" s="1">
        <v>3</v>
      </c>
      <c r="J793"/>
      <c r="K793"/>
      <c r="L793"/>
    </row>
    <row r="794" spans="1:12" x14ac:dyDescent="0.3">
      <c r="A794" s="1">
        <v>5793</v>
      </c>
      <c r="B794" s="3" t="s">
        <v>1016</v>
      </c>
      <c r="C794" s="3" t="s">
        <v>63</v>
      </c>
      <c r="D794" s="3" t="s">
        <v>20</v>
      </c>
      <c r="E794" s="1">
        <v>40707</v>
      </c>
      <c r="F794" s="2" t="s">
        <v>1286</v>
      </c>
      <c r="G794" s="3" t="s">
        <v>13</v>
      </c>
      <c r="H794" s="1">
        <v>42</v>
      </c>
      <c r="I794" s="1">
        <v>3</v>
      </c>
      <c r="J794"/>
      <c r="K794"/>
      <c r="L794"/>
    </row>
    <row r="795" spans="1:12" x14ac:dyDescent="0.3">
      <c r="A795" s="1">
        <v>5794</v>
      </c>
      <c r="B795" s="3" t="s">
        <v>1277</v>
      </c>
      <c r="C795" s="3" t="s">
        <v>39</v>
      </c>
      <c r="D795" s="3" t="s">
        <v>16</v>
      </c>
      <c r="E795" s="1">
        <v>49562</v>
      </c>
      <c r="F795" s="2" t="s">
        <v>1287</v>
      </c>
      <c r="G795" s="3" t="s">
        <v>13</v>
      </c>
      <c r="H795" s="1">
        <v>55</v>
      </c>
      <c r="I795" s="1">
        <v>2</v>
      </c>
      <c r="J795"/>
      <c r="K795"/>
      <c r="L795"/>
    </row>
    <row r="796" spans="1:12" x14ac:dyDescent="0.3">
      <c r="A796" s="1">
        <v>5795</v>
      </c>
      <c r="B796" s="3" t="s">
        <v>1288</v>
      </c>
      <c r="C796" s="3" t="s">
        <v>63</v>
      </c>
      <c r="D796" s="3" t="s">
        <v>11</v>
      </c>
      <c r="E796" s="1">
        <v>108669</v>
      </c>
      <c r="F796" s="2" t="s">
        <v>1289</v>
      </c>
      <c r="G796" s="3" t="s">
        <v>13</v>
      </c>
      <c r="H796" s="1">
        <v>27</v>
      </c>
      <c r="I796" s="1">
        <v>4</v>
      </c>
      <c r="J796"/>
      <c r="K796"/>
      <c r="L796"/>
    </row>
    <row r="797" spans="1:12" x14ac:dyDescent="0.3">
      <c r="A797" s="1">
        <v>5796</v>
      </c>
      <c r="B797" s="3" t="s">
        <v>1302</v>
      </c>
      <c r="C797" s="3" t="s">
        <v>39</v>
      </c>
      <c r="D797" s="3" t="s">
        <v>61</v>
      </c>
      <c r="E797" s="1">
        <v>137597</v>
      </c>
      <c r="F797" s="2" t="s">
        <v>1290</v>
      </c>
      <c r="G797" s="3" t="s">
        <v>13</v>
      </c>
      <c r="H797" s="1">
        <v>21</v>
      </c>
      <c r="I797" s="1">
        <v>2</v>
      </c>
      <c r="J797"/>
      <c r="K797"/>
      <c r="L797"/>
    </row>
    <row r="798" spans="1:12" x14ac:dyDescent="0.3">
      <c r="A798" s="1">
        <v>5797</v>
      </c>
      <c r="B798" s="3" t="s">
        <v>1291</v>
      </c>
      <c r="C798" s="3" t="s">
        <v>39</v>
      </c>
      <c r="D798" s="3" t="s">
        <v>49</v>
      </c>
      <c r="E798" s="1">
        <v>110496</v>
      </c>
      <c r="F798" s="2" t="s">
        <v>1292</v>
      </c>
      <c r="G798" s="3" t="s">
        <v>13</v>
      </c>
      <c r="H798" s="1">
        <v>37</v>
      </c>
      <c r="I798" s="1">
        <v>3</v>
      </c>
      <c r="J798"/>
      <c r="K798"/>
      <c r="L798"/>
    </row>
    <row r="799" spans="1:12" x14ac:dyDescent="0.3">
      <c r="A799" s="1">
        <v>5798</v>
      </c>
      <c r="B799" s="3" t="s">
        <v>1293</v>
      </c>
      <c r="C799" s="3" t="s">
        <v>44</v>
      </c>
      <c r="D799" s="3" t="s">
        <v>11</v>
      </c>
      <c r="E799" s="1">
        <v>76353</v>
      </c>
      <c r="F799" s="2" t="s">
        <v>1294</v>
      </c>
      <c r="G799" s="3" t="s">
        <v>13</v>
      </c>
      <c r="H799" s="1">
        <v>49</v>
      </c>
      <c r="I799" s="1">
        <v>3</v>
      </c>
      <c r="J799"/>
      <c r="K799"/>
      <c r="L799"/>
    </row>
    <row r="800" spans="1:12" x14ac:dyDescent="0.3">
      <c r="A800" s="1">
        <v>5799</v>
      </c>
      <c r="B800" s="3" t="s">
        <v>1295</v>
      </c>
      <c r="C800" s="3" t="s">
        <v>79</v>
      </c>
      <c r="D800" s="3" t="s">
        <v>49</v>
      </c>
      <c r="E800" s="1">
        <v>100807</v>
      </c>
      <c r="F800" s="2" t="s">
        <v>1296</v>
      </c>
      <c r="G800" s="3" t="s">
        <v>24</v>
      </c>
      <c r="H800" s="1">
        <v>26</v>
      </c>
      <c r="I800" s="1">
        <v>3</v>
      </c>
      <c r="J800"/>
      <c r="K800"/>
      <c r="L800"/>
    </row>
    <row r="801" spans="1:12" x14ac:dyDescent="0.3">
      <c r="A801" s="1">
        <v>5800</v>
      </c>
      <c r="B801" s="3" t="s">
        <v>1588</v>
      </c>
      <c r="C801" s="3" t="s">
        <v>10</v>
      </c>
      <c r="D801" s="3" t="s">
        <v>87</v>
      </c>
      <c r="E801" s="1">
        <v>87520</v>
      </c>
      <c r="F801" s="2" t="s">
        <v>1297</v>
      </c>
      <c r="G801" s="3" t="s">
        <v>24</v>
      </c>
      <c r="H801" s="1">
        <v>42</v>
      </c>
      <c r="I801" s="1">
        <v>2</v>
      </c>
      <c r="J801"/>
      <c r="K801"/>
      <c r="L801"/>
    </row>
    <row r="802" spans="1:12" x14ac:dyDescent="0.3">
      <c r="A802" s="1">
        <v>5801</v>
      </c>
      <c r="B802" s="3" t="s">
        <v>998</v>
      </c>
      <c r="C802" s="3" t="s">
        <v>63</v>
      </c>
      <c r="D802" s="3" t="s">
        <v>30</v>
      </c>
      <c r="E802" s="1">
        <v>119537</v>
      </c>
      <c r="F802" s="2" t="s">
        <v>1298</v>
      </c>
      <c r="G802" s="3" t="s">
        <v>13</v>
      </c>
      <c r="H802" s="1">
        <v>35</v>
      </c>
      <c r="I802" s="1">
        <v>4</v>
      </c>
      <c r="J802"/>
      <c r="K802"/>
      <c r="L802"/>
    </row>
    <row r="803" spans="1:12" x14ac:dyDescent="0.3">
      <c r="A803" s="1">
        <v>5802</v>
      </c>
      <c r="B803" s="3" t="s">
        <v>599</v>
      </c>
      <c r="C803" s="3" t="s">
        <v>79</v>
      </c>
      <c r="D803" s="3" t="s">
        <v>16</v>
      </c>
      <c r="E803" s="1">
        <v>87520</v>
      </c>
      <c r="F803" s="2" t="s">
        <v>1299</v>
      </c>
      <c r="G803" s="3" t="s">
        <v>13</v>
      </c>
      <c r="H803" s="1">
        <v>38</v>
      </c>
      <c r="I803" s="1">
        <v>5</v>
      </c>
      <c r="J803"/>
      <c r="K803"/>
      <c r="L803"/>
    </row>
    <row r="804" spans="1:12" x14ac:dyDescent="0.3">
      <c r="A804" s="1">
        <v>5803</v>
      </c>
      <c r="B804" s="3" t="s">
        <v>532</v>
      </c>
      <c r="C804" s="3" t="s">
        <v>79</v>
      </c>
      <c r="D804" s="3" t="s">
        <v>49</v>
      </c>
      <c r="E804" s="1">
        <v>62214</v>
      </c>
      <c r="F804" s="2" t="s">
        <v>1300</v>
      </c>
      <c r="G804" s="3" t="s">
        <v>1534</v>
      </c>
      <c r="H804" s="1">
        <v>51</v>
      </c>
      <c r="I804" s="1">
        <v>2</v>
      </c>
      <c r="J804"/>
      <c r="K804"/>
      <c r="L804"/>
    </row>
    <row r="805" spans="1:12" x14ac:dyDescent="0.3">
      <c r="A805" s="1">
        <v>5804</v>
      </c>
      <c r="B805" s="3" t="s">
        <v>1198</v>
      </c>
      <c r="C805" s="3" t="s">
        <v>79</v>
      </c>
      <c r="D805" s="3" t="s">
        <v>49</v>
      </c>
      <c r="E805" s="1">
        <v>45015</v>
      </c>
      <c r="F805" s="2" t="s">
        <v>1301</v>
      </c>
      <c r="G805" s="3" t="s">
        <v>24</v>
      </c>
      <c r="H805" s="1">
        <v>40</v>
      </c>
      <c r="I805" s="1">
        <v>3</v>
      </c>
      <c r="J805"/>
      <c r="K805"/>
      <c r="L805"/>
    </row>
    <row r="806" spans="1:12" x14ac:dyDescent="0.3">
      <c r="A806" s="1">
        <v>5805</v>
      </c>
      <c r="B806" s="3" t="s">
        <v>1302</v>
      </c>
      <c r="C806" s="3" t="s">
        <v>10</v>
      </c>
      <c r="D806" s="3" t="s">
        <v>49</v>
      </c>
      <c r="E806" s="1">
        <v>79366</v>
      </c>
      <c r="F806" s="2" t="s">
        <v>1303</v>
      </c>
      <c r="G806" s="3" t="s">
        <v>13</v>
      </c>
      <c r="H806" s="1">
        <v>47</v>
      </c>
      <c r="I806" s="1">
        <v>1</v>
      </c>
      <c r="J806"/>
      <c r="K806"/>
      <c r="L806"/>
    </row>
    <row r="807" spans="1:12" x14ac:dyDescent="0.3">
      <c r="A807" s="1">
        <v>5806</v>
      </c>
      <c r="B807" s="3" t="s">
        <v>1304</v>
      </c>
      <c r="C807" s="3" t="s">
        <v>26</v>
      </c>
      <c r="D807" s="3" t="s">
        <v>87</v>
      </c>
      <c r="E807" s="1">
        <v>66316</v>
      </c>
      <c r="F807" s="2" t="s">
        <v>1305</v>
      </c>
      <c r="G807" s="3" t="s">
        <v>13</v>
      </c>
      <c r="H807" s="1">
        <v>39</v>
      </c>
      <c r="I807" s="1">
        <v>1</v>
      </c>
      <c r="J807"/>
      <c r="K807"/>
      <c r="L807"/>
    </row>
    <row r="808" spans="1:12" x14ac:dyDescent="0.3">
      <c r="A808" s="1">
        <v>5807</v>
      </c>
      <c r="B808" s="3" t="s">
        <v>1306</v>
      </c>
      <c r="C808" s="3" t="s">
        <v>19</v>
      </c>
      <c r="D808" s="3" t="s">
        <v>11</v>
      </c>
      <c r="E808" s="1">
        <v>125493</v>
      </c>
      <c r="F808" s="2" t="s">
        <v>402</v>
      </c>
      <c r="G808" s="3" t="s">
        <v>24</v>
      </c>
      <c r="H808" s="1">
        <v>41</v>
      </c>
      <c r="I808" s="1">
        <v>4</v>
      </c>
      <c r="J808"/>
      <c r="K808"/>
      <c r="L808"/>
    </row>
    <row r="809" spans="1:12" x14ac:dyDescent="0.3">
      <c r="A809" s="1">
        <v>5808</v>
      </c>
      <c r="B809" s="3" t="s">
        <v>875</v>
      </c>
      <c r="C809" s="3" t="s">
        <v>15</v>
      </c>
      <c r="D809" s="3" t="s">
        <v>87</v>
      </c>
      <c r="E809" s="1">
        <v>32727</v>
      </c>
      <c r="F809" s="2" t="s">
        <v>1307</v>
      </c>
      <c r="G809" s="3" t="s">
        <v>24</v>
      </c>
      <c r="H809" s="1">
        <v>46</v>
      </c>
      <c r="I809" s="1">
        <v>4</v>
      </c>
      <c r="J809"/>
      <c r="K809"/>
      <c r="L809"/>
    </row>
    <row r="810" spans="1:12" x14ac:dyDescent="0.3">
      <c r="A810" s="1">
        <v>5809</v>
      </c>
      <c r="B810" s="3" t="s">
        <v>1133</v>
      </c>
      <c r="C810" s="3" t="s">
        <v>19</v>
      </c>
      <c r="D810" s="3" t="s">
        <v>11</v>
      </c>
      <c r="E810" s="1">
        <v>66025</v>
      </c>
      <c r="F810" s="2" t="s">
        <v>1308</v>
      </c>
      <c r="G810" s="3" t="s">
        <v>13</v>
      </c>
      <c r="H810" s="1">
        <v>45</v>
      </c>
      <c r="I810" s="1">
        <v>1</v>
      </c>
      <c r="J810"/>
      <c r="K810"/>
      <c r="L810"/>
    </row>
    <row r="811" spans="1:12" x14ac:dyDescent="0.3">
      <c r="A811" s="1">
        <v>5810</v>
      </c>
      <c r="B811" s="3" t="s">
        <v>749</v>
      </c>
      <c r="C811" s="3" t="s">
        <v>19</v>
      </c>
      <c r="D811" s="3" t="s">
        <v>20</v>
      </c>
      <c r="E811" s="1">
        <v>82271</v>
      </c>
      <c r="F811" s="2" t="s">
        <v>1164</v>
      </c>
      <c r="G811" s="3" t="s">
        <v>1534</v>
      </c>
      <c r="H811" s="1">
        <v>45</v>
      </c>
      <c r="I811" s="1">
        <v>3</v>
      </c>
      <c r="J811"/>
      <c r="K811"/>
      <c r="L811"/>
    </row>
    <row r="812" spans="1:12" x14ac:dyDescent="0.3">
      <c r="A812" s="1">
        <v>5811</v>
      </c>
      <c r="B812" s="3" t="s">
        <v>1276</v>
      </c>
      <c r="C812" s="3" t="s">
        <v>39</v>
      </c>
      <c r="D812" s="3" t="s">
        <v>87</v>
      </c>
      <c r="E812" s="1">
        <v>126373</v>
      </c>
      <c r="F812" s="2" t="s">
        <v>1309</v>
      </c>
      <c r="G812" s="3" t="s">
        <v>13</v>
      </c>
      <c r="H812" s="1">
        <v>31</v>
      </c>
      <c r="I812" s="1">
        <v>2</v>
      </c>
      <c r="J812"/>
      <c r="K812"/>
      <c r="L812"/>
    </row>
    <row r="813" spans="1:12" x14ac:dyDescent="0.3">
      <c r="A813" s="1">
        <v>5812</v>
      </c>
      <c r="B813" s="3" t="s">
        <v>1310</v>
      </c>
      <c r="C813" s="3" t="s">
        <v>39</v>
      </c>
      <c r="D813" s="3" t="s">
        <v>30</v>
      </c>
      <c r="E813" s="1">
        <v>86023</v>
      </c>
      <c r="F813" s="2" t="s">
        <v>1311</v>
      </c>
      <c r="G813" s="3" t="s">
        <v>13</v>
      </c>
      <c r="H813" s="1">
        <v>55</v>
      </c>
      <c r="I813" s="1">
        <v>3</v>
      </c>
      <c r="J813"/>
      <c r="K813"/>
      <c r="L813"/>
    </row>
    <row r="814" spans="1:12" x14ac:dyDescent="0.3">
      <c r="A814" s="1">
        <v>5813</v>
      </c>
      <c r="B814" s="3" t="s">
        <v>651</v>
      </c>
      <c r="C814" s="3" t="s">
        <v>26</v>
      </c>
      <c r="D814" s="3" t="s">
        <v>20</v>
      </c>
      <c r="E814" s="1">
        <v>49711</v>
      </c>
      <c r="F814" s="2" t="s">
        <v>1232</v>
      </c>
      <c r="G814" s="3" t="s">
        <v>13</v>
      </c>
      <c r="H814" s="1">
        <v>22</v>
      </c>
      <c r="I814" s="1">
        <v>4</v>
      </c>
      <c r="J814"/>
      <c r="K814"/>
      <c r="L814"/>
    </row>
    <row r="815" spans="1:12" x14ac:dyDescent="0.3">
      <c r="A815" s="1">
        <v>5814</v>
      </c>
      <c r="B815" s="3" t="s">
        <v>1312</v>
      </c>
      <c r="C815" s="3" t="s">
        <v>35</v>
      </c>
      <c r="D815" s="3" t="s">
        <v>52</v>
      </c>
      <c r="E815" s="1">
        <v>105597</v>
      </c>
      <c r="F815" s="2" t="s">
        <v>1313</v>
      </c>
      <c r="G815" s="3" t="s">
        <v>24</v>
      </c>
      <c r="H815" s="1">
        <v>34</v>
      </c>
      <c r="I815" s="1">
        <v>2</v>
      </c>
      <c r="J815"/>
      <c r="K815"/>
      <c r="L815"/>
    </row>
    <row r="816" spans="1:12" x14ac:dyDescent="0.3">
      <c r="A816" s="1">
        <v>5815</v>
      </c>
      <c r="B816" s="3" t="s">
        <v>534</v>
      </c>
      <c r="C816" s="3" t="s">
        <v>19</v>
      </c>
      <c r="D816" s="3" t="s">
        <v>27</v>
      </c>
      <c r="E816" s="1">
        <v>92190</v>
      </c>
      <c r="F816" s="2" t="s">
        <v>107</v>
      </c>
      <c r="G816" s="3" t="s">
        <v>13</v>
      </c>
      <c r="H816" s="1">
        <v>52</v>
      </c>
      <c r="I816" s="1">
        <v>1</v>
      </c>
      <c r="J816"/>
      <c r="K816"/>
      <c r="L816"/>
    </row>
    <row r="817" spans="1:12" x14ac:dyDescent="0.3">
      <c r="A817" s="1">
        <v>5816</v>
      </c>
      <c r="B817" s="3" t="s">
        <v>319</v>
      </c>
      <c r="C817" s="3" t="s">
        <v>79</v>
      </c>
      <c r="D817" s="3" t="s">
        <v>27</v>
      </c>
      <c r="E817" s="1">
        <v>80428</v>
      </c>
      <c r="F817" s="2" t="s">
        <v>1220</v>
      </c>
      <c r="G817" s="3" t="s">
        <v>13</v>
      </c>
      <c r="H817" s="1">
        <v>52</v>
      </c>
      <c r="I817" s="1">
        <v>2</v>
      </c>
      <c r="J817"/>
      <c r="K817"/>
      <c r="L817"/>
    </row>
    <row r="818" spans="1:12" x14ac:dyDescent="0.3">
      <c r="A818" s="1">
        <v>5817</v>
      </c>
      <c r="B818" s="3" t="s">
        <v>231</v>
      </c>
      <c r="C818" s="3" t="s">
        <v>63</v>
      </c>
      <c r="D818" s="3" t="s">
        <v>16</v>
      </c>
      <c r="E818" s="1">
        <v>71445</v>
      </c>
      <c r="F818" s="2" t="s">
        <v>324</v>
      </c>
      <c r="G818" s="3" t="s">
        <v>24</v>
      </c>
      <c r="H818" s="1">
        <v>39</v>
      </c>
      <c r="I818" s="1">
        <v>1</v>
      </c>
      <c r="J818"/>
      <c r="K818"/>
      <c r="L818"/>
    </row>
    <row r="819" spans="1:12" x14ac:dyDescent="0.3">
      <c r="A819" s="1">
        <v>5818</v>
      </c>
      <c r="B819" s="3" t="s">
        <v>116</v>
      </c>
      <c r="C819" s="3" t="s">
        <v>63</v>
      </c>
      <c r="D819" s="3" t="s">
        <v>49</v>
      </c>
      <c r="E819" s="1">
        <v>87520</v>
      </c>
      <c r="F819" s="2" t="s">
        <v>1314</v>
      </c>
      <c r="G819" s="3" t="s">
        <v>24</v>
      </c>
      <c r="H819" s="1">
        <v>44</v>
      </c>
      <c r="I819" s="1">
        <v>2</v>
      </c>
      <c r="J819"/>
      <c r="K819"/>
      <c r="L819"/>
    </row>
    <row r="820" spans="1:12" x14ac:dyDescent="0.3">
      <c r="A820" s="1">
        <v>5819</v>
      </c>
      <c r="B820" s="3" t="s">
        <v>1203</v>
      </c>
      <c r="C820" s="3" t="s">
        <v>19</v>
      </c>
      <c r="D820" s="3" t="s">
        <v>16</v>
      </c>
      <c r="E820" s="1">
        <v>146311</v>
      </c>
      <c r="F820" s="2" t="s">
        <v>1315</v>
      </c>
      <c r="G820" s="3" t="s">
        <v>24</v>
      </c>
      <c r="H820" s="1">
        <v>46</v>
      </c>
      <c r="I820" s="1">
        <v>4</v>
      </c>
      <c r="J820"/>
      <c r="K820"/>
      <c r="L820"/>
    </row>
    <row r="821" spans="1:12" x14ac:dyDescent="0.3">
      <c r="A821" s="1">
        <v>5820</v>
      </c>
      <c r="B821" s="3" t="s">
        <v>1589</v>
      </c>
      <c r="C821" s="3" t="s">
        <v>35</v>
      </c>
      <c r="D821" s="3" t="s">
        <v>87</v>
      </c>
      <c r="E821" s="1">
        <v>99285</v>
      </c>
      <c r="F821" s="2" t="s">
        <v>848</v>
      </c>
      <c r="G821" s="3" t="s">
        <v>13</v>
      </c>
      <c r="H821" s="1">
        <v>50</v>
      </c>
      <c r="I821" s="1">
        <v>4</v>
      </c>
      <c r="J821"/>
      <c r="K821"/>
      <c r="L821"/>
    </row>
    <row r="822" spans="1:12" x14ac:dyDescent="0.3">
      <c r="A822" s="1">
        <v>5821</v>
      </c>
      <c r="B822" s="3" t="s">
        <v>1316</v>
      </c>
      <c r="C822" s="3" t="s">
        <v>15</v>
      </c>
      <c r="D822" s="3" t="s">
        <v>87</v>
      </c>
      <c r="E822" s="1">
        <v>125154</v>
      </c>
      <c r="F822" s="2" t="s">
        <v>1317</v>
      </c>
      <c r="G822" s="3" t="s">
        <v>24</v>
      </c>
      <c r="H822" s="1">
        <v>38</v>
      </c>
      <c r="I822" s="1">
        <v>5</v>
      </c>
      <c r="J822"/>
      <c r="K822"/>
      <c r="L822"/>
    </row>
    <row r="823" spans="1:12" x14ac:dyDescent="0.3">
      <c r="A823" s="1">
        <v>5822</v>
      </c>
      <c r="B823" s="3" t="s">
        <v>1318</v>
      </c>
      <c r="C823" s="3" t="s">
        <v>10</v>
      </c>
      <c r="D823" s="3" t="s">
        <v>16</v>
      </c>
      <c r="E823" s="1">
        <v>87520</v>
      </c>
      <c r="F823" s="2" t="s">
        <v>1319</v>
      </c>
      <c r="G823" s="3" t="s">
        <v>24</v>
      </c>
      <c r="H823" s="1">
        <v>44</v>
      </c>
      <c r="I823" s="1">
        <v>3</v>
      </c>
      <c r="J823"/>
      <c r="K823"/>
      <c r="L823"/>
    </row>
    <row r="824" spans="1:12" x14ac:dyDescent="0.3">
      <c r="A824" s="1">
        <v>5823</v>
      </c>
      <c r="B824" s="3" t="s">
        <v>239</v>
      </c>
      <c r="C824" s="3" t="s">
        <v>26</v>
      </c>
      <c r="D824" s="3" t="s">
        <v>20</v>
      </c>
      <c r="E824" s="1">
        <v>143857</v>
      </c>
      <c r="F824" s="2" t="s">
        <v>1320</v>
      </c>
      <c r="G824" s="3" t="s">
        <v>24</v>
      </c>
      <c r="H824" s="1">
        <v>37</v>
      </c>
      <c r="I824" s="1">
        <v>2</v>
      </c>
      <c r="J824"/>
      <c r="K824"/>
      <c r="L824"/>
    </row>
    <row r="825" spans="1:12" x14ac:dyDescent="0.3">
      <c r="A825" s="1">
        <v>5824</v>
      </c>
      <c r="B825" s="3" t="s">
        <v>1321</v>
      </c>
      <c r="C825" s="3" t="s">
        <v>79</v>
      </c>
      <c r="D825" s="3" t="s">
        <v>61</v>
      </c>
      <c r="E825" s="1">
        <v>29799</v>
      </c>
      <c r="F825" s="2" t="s">
        <v>1322</v>
      </c>
      <c r="G825" s="3" t="s">
        <v>13</v>
      </c>
      <c r="H825" s="1">
        <v>39</v>
      </c>
      <c r="I825" s="1">
        <v>2</v>
      </c>
      <c r="J825"/>
      <c r="K825"/>
      <c r="L825"/>
    </row>
    <row r="826" spans="1:12" x14ac:dyDescent="0.3">
      <c r="A826" s="1">
        <v>5825</v>
      </c>
      <c r="B826" s="3" t="s">
        <v>1323</v>
      </c>
      <c r="C826" s="3" t="s">
        <v>35</v>
      </c>
      <c r="D826" s="3" t="s">
        <v>49</v>
      </c>
      <c r="E826" s="1">
        <v>137234</v>
      </c>
      <c r="F826" s="2" t="s">
        <v>316</v>
      </c>
      <c r="G826" s="3" t="s">
        <v>24</v>
      </c>
      <c r="H826" s="1">
        <v>39</v>
      </c>
      <c r="I826" s="1">
        <v>4</v>
      </c>
      <c r="J826"/>
      <c r="K826"/>
      <c r="L826"/>
    </row>
    <row r="827" spans="1:12" x14ac:dyDescent="0.3">
      <c r="A827" s="1">
        <v>5826</v>
      </c>
      <c r="B827" s="3" t="s">
        <v>1324</v>
      </c>
      <c r="C827" s="3" t="s">
        <v>79</v>
      </c>
      <c r="D827" s="3" t="s">
        <v>20</v>
      </c>
      <c r="E827" s="1">
        <v>110103</v>
      </c>
      <c r="F827" s="2" t="s">
        <v>1325</v>
      </c>
      <c r="G827" s="3" t="s">
        <v>13</v>
      </c>
      <c r="H827" s="1">
        <v>53</v>
      </c>
      <c r="I827" s="1">
        <v>1</v>
      </c>
      <c r="J827"/>
      <c r="K827"/>
      <c r="L827"/>
    </row>
    <row r="828" spans="1:12" x14ac:dyDescent="0.3">
      <c r="A828" s="1">
        <v>5827</v>
      </c>
      <c r="B828" s="3" t="s">
        <v>300</v>
      </c>
      <c r="C828" s="3" t="s">
        <v>70</v>
      </c>
      <c r="D828" s="3" t="s">
        <v>36</v>
      </c>
      <c r="E828" s="1">
        <v>58151</v>
      </c>
      <c r="F828" s="2" t="s">
        <v>328</v>
      </c>
      <c r="G828" s="3" t="s">
        <v>13</v>
      </c>
      <c r="H828" s="1">
        <v>33</v>
      </c>
      <c r="I828" s="1">
        <v>4</v>
      </c>
      <c r="J828"/>
      <c r="K828"/>
      <c r="L828"/>
    </row>
    <row r="829" spans="1:12" x14ac:dyDescent="0.3">
      <c r="A829" s="1">
        <v>5828</v>
      </c>
      <c r="B829" s="3" t="s">
        <v>1275</v>
      </c>
      <c r="C829" s="3" t="s">
        <v>63</v>
      </c>
      <c r="D829" s="3" t="s">
        <v>61</v>
      </c>
      <c r="E829" s="1">
        <v>46339</v>
      </c>
      <c r="F829" s="2" t="s">
        <v>1326</v>
      </c>
      <c r="G829" s="3" t="s">
        <v>24</v>
      </c>
      <c r="H829" s="1">
        <v>54</v>
      </c>
      <c r="I829" s="1">
        <v>3</v>
      </c>
      <c r="J829"/>
      <c r="K829"/>
      <c r="L829"/>
    </row>
    <row r="830" spans="1:12" x14ac:dyDescent="0.3">
      <c r="A830" s="1">
        <v>5829</v>
      </c>
      <c r="B830" s="3" t="s">
        <v>620</v>
      </c>
      <c r="C830" s="3" t="s">
        <v>26</v>
      </c>
      <c r="D830" s="3" t="s">
        <v>30</v>
      </c>
      <c r="E830" s="1">
        <v>34994</v>
      </c>
      <c r="F830" s="2" t="s">
        <v>1327</v>
      </c>
      <c r="G830" s="3" t="s">
        <v>1534</v>
      </c>
      <c r="H830" s="1">
        <v>28</v>
      </c>
      <c r="I830" s="1">
        <v>5</v>
      </c>
      <c r="J830"/>
      <c r="K830"/>
      <c r="L830"/>
    </row>
    <row r="831" spans="1:12" x14ac:dyDescent="0.3">
      <c r="A831" s="1">
        <v>5830</v>
      </c>
      <c r="B831" s="3" t="s">
        <v>622</v>
      </c>
      <c r="C831" s="3" t="s">
        <v>63</v>
      </c>
      <c r="D831" s="3" t="s">
        <v>49</v>
      </c>
      <c r="E831" s="1">
        <v>96257</v>
      </c>
      <c r="F831" s="2" t="s">
        <v>1328</v>
      </c>
      <c r="G831" s="3" t="s">
        <v>13</v>
      </c>
      <c r="H831" s="1">
        <v>55</v>
      </c>
      <c r="I831" s="1">
        <v>3</v>
      </c>
      <c r="J831"/>
      <c r="K831"/>
      <c r="L831"/>
    </row>
    <row r="832" spans="1:12" x14ac:dyDescent="0.3">
      <c r="A832" s="1">
        <v>5831</v>
      </c>
      <c r="B832" s="3" t="s">
        <v>1329</v>
      </c>
      <c r="C832" s="3" t="s">
        <v>26</v>
      </c>
      <c r="D832" s="3" t="s">
        <v>20</v>
      </c>
      <c r="E832" s="1">
        <v>147234</v>
      </c>
      <c r="F832" s="2" t="s">
        <v>1330</v>
      </c>
      <c r="G832" s="3" t="s">
        <v>13</v>
      </c>
      <c r="H832" s="1">
        <v>53</v>
      </c>
      <c r="I832" s="1">
        <v>4</v>
      </c>
      <c r="J832"/>
      <c r="K832"/>
      <c r="L832"/>
    </row>
    <row r="833" spans="1:12" x14ac:dyDescent="0.3">
      <c r="A833" s="1">
        <v>5832</v>
      </c>
      <c r="B833" s="3" t="s">
        <v>159</v>
      </c>
      <c r="C833" s="3" t="s">
        <v>39</v>
      </c>
      <c r="D833" s="3" t="s">
        <v>87</v>
      </c>
      <c r="E833" s="1">
        <v>61190</v>
      </c>
      <c r="F833" s="2" t="s">
        <v>1331</v>
      </c>
      <c r="G833" s="3" t="s">
        <v>1534</v>
      </c>
      <c r="H833" s="1">
        <v>26</v>
      </c>
      <c r="I833" s="1">
        <v>5</v>
      </c>
      <c r="J833"/>
      <c r="K833"/>
      <c r="L833"/>
    </row>
    <row r="834" spans="1:12" x14ac:dyDescent="0.3">
      <c r="A834" s="1">
        <v>5833</v>
      </c>
      <c r="B834" s="3" t="s">
        <v>1256</v>
      </c>
      <c r="C834" s="3" t="s">
        <v>39</v>
      </c>
      <c r="D834" s="3" t="s">
        <v>61</v>
      </c>
      <c r="E834" s="1">
        <v>100497</v>
      </c>
      <c r="F834" s="2" t="s">
        <v>1332</v>
      </c>
      <c r="G834" s="3" t="s">
        <v>1534</v>
      </c>
      <c r="H834" s="1">
        <v>47</v>
      </c>
      <c r="I834" s="1">
        <v>1</v>
      </c>
      <c r="J834"/>
      <c r="K834"/>
      <c r="L834"/>
    </row>
    <row r="835" spans="1:12" x14ac:dyDescent="0.3">
      <c r="A835" s="1">
        <v>5834</v>
      </c>
      <c r="B835" s="3" t="s">
        <v>1333</v>
      </c>
      <c r="C835" s="3" t="s">
        <v>15</v>
      </c>
      <c r="D835" s="3" t="s">
        <v>87</v>
      </c>
      <c r="E835" s="1">
        <v>75730</v>
      </c>
      <c r="F835" s="2" t="s">
        <v>1325</v>
      </c>
      <c r="G835" s="3" t="s">
        <v>13</v>
      </c>
      <c r="H835" s="1">
        <v>45</v>
      </c>
      <c r="I835" s="1">
        <v>2</v>
      </c>
      <c r="J835"/>
      <c r="K835"/>
      <c r="L835"/>
    </row>
    <row r="836" spans="1:12" x14ac:dyDescent="0.3">
      <c r="A836" s="1">
        <v>5835</v>
      </c>
      <c r="B836" s="3" t="s">
        <v>134</v>
      </c>
      <c r="C836" s="3" t="s">
        <v>10</v>
      </c>
      <c r="D836" s="3" t="s">
        <v>52</v>
      </c>
      <c r="E836" s="1">
        <v>43304</v>
      </c>
      <c r="F836" s="2" t="s">
        <v>1334</v>
      </c>
      <c r="G836" s="3" t="s">
        <v>24</v>
      </c>
      <c r="H836" s="1">
        <v>54</v>
      </c>
      <c r="I836" s="1">
        <v>4</v>
      </c>
      <c r="J836"/>
      <c r="K836"/>
      <c r="L836"/>
    </row>
    <row r="837" spans="1:12" x14ac:dyDescent="0.3">
      <c r="A837" s="1">
        <v>5836</v>
      </c>
      <c r="B837" s="3" t="s">
        <v>1335</v>
      </c>
      <c r="C837" s="3" t="s">
        <v>15</v>
      </c>
      <c r="D837" s="3" t="s">
        <v>20</v>
      </c>
      <c r="E837" s="1">
        <v>110913</v>
      </c>
      <c r="F837" s="2" t="s">
        <v>1336</v>
      </c>
      <c r="G837" s="3" t="s">
        <v>13</v>
      </c>
      <c r="H837" s="1">
        <v>51</v>
      </c>
      <c r="I837" s="1">
        <v>2</v>
      </c>
      <c r="J837"/>
      <c r="K837"/>
      <c r="L837"/>
    </row>
    <row r="838" spans="1:12" x14ac:dyDescent="0.3">
      <c r="A838" s="1">
        <v>5837</v>
      </c>
      <c r="B838" s="3" t="s">
        <v>462</v>
      </c>
      <c r="C838" s="3" t="s">
        <v>26</v>
      </c>
      <c r="D838" s="3" t="s">
        <v>16</v>
      </c>
      <c r="E838" s="1">
        <v>88306</v>
      </c>
      <c r="F838" s="2" t="s">
        <v>460</v>
      </c>
      <c r="G838" s="3" t="s">
        <v>13</v>
      </c>
      <c r="H838" s="1">
        <v>35</v>
      </c>
      <c r="I838" s="1">
        <v>2</v>
      </c>
      <c r="J838"/>
      <c r="K838"/>
      <c r="L838"/>
    </row>
    <row r="839" spans="1:12" x14ac:dyDescent="0.3">
      <c r="A839" s="1">
        <v>5838</v>
      </c>
      <c r="B839" s="3" t="s">
        <v>1337</v>
      </c>
      <c r="C839" s="3" t="s">
        <v>44</v>
      </c>
      <c r="D839" s="3" t="s">
        <v>36</v>
      </c>
      <c r="E839" s="1">
        <v>55624</v>
      </c>
      <c r="F839" s="2" t="s">
        <v>1308</v>
      </c>
      <c r="G839" s="3" t="s">
        <v>13</v>
      </c>
      <c r="H839" s="1">
        <v>45</v>
      </c>
      <c r="I839" s="1">
        <v>3</v>
      </c>
      <c r="J839"/>
      <c r="K839"/>
      <c r="L839"/>
    </row>
    <row r="840" spans="1:12" x14ac:dyDescent="0.3">
      <c r="A840" s="1">
        <v>5839</v>
      </c>
      <c r="B840" s="3" t="s">
        <v>1338</v>
      </c>
      <c r="C840" s="3" t="s">
        <v>44</v>
      </c>
      <c r="D840" s="3" t="s">
        <v>20</v>
      </c>
      <c r="E840" s="1">
        <v>145230</v>
      </c>
      <c r="F840" s="2" t="s">
        <v>1339</v>
      </c>
      <c r="G840" s="3" t="s">
        <v>13</v>
      </c>
      <c r="H840" s="1">
        <v>41</v>
      </c>
      <c r="I840" s="1">
        <v>4</v>
      </c>
      <c r="J840"/>
      <c r="K840"/>
      <c r="L840"/>
    </row>
    <row r="841" spans="1:12" x14ac:dyDescent="0.3">
      <c r="A841" s="1">
        <v>5840</v>
      </c>
      <c r="B841" s="3" t="s">
        <v>1340</v>
      </c>
      <c r="C841" s="3" t="s">
        <v>39</v>
      </c>
      <c r="D841" s="3" t="s">
        <v>52</v>
      </c>
      <c r="E841" s="1">
        <v>77728</v>
      </c>
      <c r="F841" s="2" t="s">
        <v>1341</v>
      </c>
      <c r="G841" s="3" t="s">
        <v>13</v>
      </c>
      <c r="H841" s="1">
        <v>48</v>
      </c>
      <c r="I841" s="1">
        <v>1</v>
      </c>
      <c r="J841"/>
      <c r="K841"/>
      <c r="L841"/>
    </row>
    <row r="842" spans="1:12" x14ac:dyDescent="0.3">
      <c r="A842" s="1">
        <v>5841</v>
      </c>
      <c r="B842" s="3" t="s">
        <v>1342</v>
      </c>
      <c r="C842" s="3" t="s">
        <v>19</v>
      </c>
      <c r="D842" s="3" t="s">
        <v>87</v>
      </c>
      <c r="E842" s="1">
        <v>62142</v>
      </c>
      <c r="F842" s="2" t="s">
        <v>1343</v>
      </c>
      <c r="G842" s="3" t="s">
        <v>1534</v>
      </c>
      <c r="H842" s="1">
        <v>44</v>
      </c>
      <c r="I842" s="1">
        <v>4</v>
      </c>
      <c r="J842"/>
      <c r="K842"/>
      <c r="L842"/>
    </row>
    <row r="843" spans="1:12" x14ac:dyDescent="0.3">
      <c r="A843" s="1">
        <v>5842</v>
      </c>
      <c r="B843" s="3" t="s">
        <v>116</v>
      </c>
      <c r="C843" s="3" t="s">
        <v>10</v>
      </c>
      <c r="D843" s="3" t="s">
        <v>61</v>
      </c>
      <c r="E843" s="1">
        <v>125112</v>
      </c>
      <c r="F843" s="2" t="s">
        <v>1344</v>
      </c>
      <c r="G843" s="3" t="s">
        <v>24</v>
      </c>
      <c r="H843" s="1">
        <v>55</v>
      </c>
      <c r="I843" s="1">
        <v>1</v>
      </c>
      <c r="J843"/>
      <c r="K843"/>
      <c r="L843"/>
    </row>
    <row r="844" spans="1:12" x14ac:dyDescent="0.3">
      <c r="A844" s="1">
        <v>5843</v>
      </c>
      <c r="B844" s="3" t="s">
        <v>1590</v>
      </c>
      <c r="C844" s="3" t="s">
        <v>10</v>
      </c>
      <c r="D844" s="3" t="s">
        <v>52</v>
      </c>
      <c r="E844" s="1">
        <v>138245</v>
      </c>
      <c r="F844" s="2" t="s">
        <v>1345</v>
      </c>
      <c r="G844" s="3" t="s">
        <v>13</v>
      </c>
      <c r="H844" s="1">
        <v>22</v>
      </c>
      <c r="I844" s="1">
        <v>5</v>
      </c>
      <c r="J844"/>
      <c r="K844"/>
      <c r="L844"/>
    </row>
    <row r="845" spans="1:12" x14ac:dyDescent="0.3">
      <c r="A845" s="1">
        <v>5844</v>
      </c>
      <c r="B845" s="3" t="s">
        <v>1346</v>
      </c>
      <c r="C845" s="3" t="s">
        <v>79</v>
      </c>
      <c r="D845" s="3" t="s">
        <v>61</v>
      </c>
      <c r="E845" s="1">
        <v>98566</v>
      </c>
      <c r="F845" s="2" t="s">
        <v>1347</v>
      </c>
      <c r="G845" s="3" t="s">
        <v>13</v>
      </c>
      <c r="H845" s="1">
        <v>48</v>
      </c>
      <c r="I845" s="1">
        <v>4</v>
      </c>
      <c r="J845"/>
      <c r="K845"/>
      <c r="L845"/>
    </row>
    <row r="846" spans="1:12" x14ac:dyDescent="0.3">
      <c r="A846" s="1">
        <v>5845</v>
      </c>
      <c r="B846" s="3" t="s">
        <v>1348</v>
      </c>
      <c r="C846" s="3" t="s">
        <v>39</v>
      </c>
      <c r="D846" s="3" t="s">
        <v>27</v>
      </c>
      <c r="E846" s="1">
        <v>132933</v>
      </c>
      <c r="F846" s="2" t="s">
        <v>394</v>
      </c>
      <c r="G846" s="3" t="s">
        <v>13</v>
      </c>
      <c r="H846" s="1">
        <v>26</v>
      </c>
      <c r="I846" s="1">
        <v>5</v>
      </c>
      <c r="J846"/>
      <c r="K846"/>
      <c r="L846"/>
    </row>
    <row r="847" spans="1:12" x14ac:dyDescent="0.3">
      <c r="A847" s="1">
        <v>5846</v>
      </c>
      <c r="B847" s="3" t="s">
        <v>1349</v>
      </c>
      <c r="C847" s="3" t="s">
        <v>63</v>
      </c>
      <c r="D847" s="3" t="s">
        <v>36</v>
      </c>
      <c r="E847" s="1">
        <v>146664</v>
      </c>
      <c r="F847" s="2" t="s">
        <v>1350</v>
      </c>
      <c r="G847" s="3" t="s">
        <v>24</v>
      </c>
      <c r="H847" s="1">
        <v>45</v>
      </c>
      <c r="I847" s="1">
        <v>2</v>
      </c>
      <c r="J847"/>
      <c r="K847"/>
      <c r="L847"/>
    </row>
    <row r="848" spans="1:12" x14ac:dyDescent="0.3">
      <c r="A848" s="1">
        <v>5847</v>
      </c>
      <c r="B848" s="3" t="s">
        <v>1351</v>
      </c>
      <c r="C848" s="3" t="s">
        <v>10</v>
      </c>
      <c r="D848" s="3" t="s">
        <v>27</v>
      </c>
      <c r="E848" s="1">
        <v>63580</v>
      </c>
      <c r="F848" s="2" t="s">
        <v>1352</v>
      </c>
      <c r="G848" s="3" t="s">
        <v>13</v>
      </c>
      <c r="H848" s="1">
        <v>49</v>
      </c>
      <c r="I848" s="1">
        <v>2</v>
      </c>
      <c r="J848"/>
      <c r="K848"/>
      <c r="L848"/>
    </row>
    <row r="849" spans="1:12" x14ac:dyDescent="0.3">
      <c r="A849" s="1">
        <v>5848</v>
      </c>
      <c r="B849" s="3" t="s">
        <v>1304</v>
      </c>
      <c r="C849" s="3" t="s">
        <v>10</v>
      </c>
      <c r="D849" s="3" t="s">
        <v>49</v>
      </c>
      <c r="E849" s="1">
        <v>102406</v>
      </c>
      <c r="F849" s="2" t="s">
        <v>1353</v>
      </c>
      <c r="G849" s="3" t="s">
        <v>13</v>
      </c>
      <c r="H849" s="1">
        <v>52</v>
      </c>
      <c r="I849" s="1">
        <v>5</v>
      </c>
      <c r="J849"/>
      <c r="K849"/>
      <c r="L849"/>
    </row>
    <row r="850" spans="1:12" x14ac:dyDescent="0.3">
      <c r="A850" s="1">
        <v>5849</v>
      </c>
      <c r="B850" s="3" t="s">
        <v>1354</v>
      </c>
      <c r="C850" s="3" t="s">
        <v>15</v>
      </c>
      <c r="D850" s="3" t="s">
        <v>61</v>
      </c>
      <c r="E850" s="1">
        <v>55340</v>
      </c>
      <c r="F850" s="2" t="s">
        <v>1355</v>
      </c>
      <c r="G850" s="3" t="s">
        <v>13</v>
      </c>
      <c r="H850" s="1">
        <v>54</v>
      </c>
      <c r="I850" s="1">
        <v>1</v>
      </c>
      <c r="J850"/>
      <c r="K850"/>
      <c r="L850"/>
    </row>
    <row r="851" spans="1:12" x14ac:dyDescent="0.3">
      <c r="A851" s="1">
        <v>5850</v>
      </c>
      <c r="B851" s="3" t="s">
        <v>1356</v>
      </c>
      <c r="C851" s="3" t="s">
        <v>15</v>
      </c>
      <c r="D851" s="3" t="s">
        <v>36</v>
      </c>
      <c r="E851" s="1">
        <v>146595</v>
      </c>
      <c r="F851" s="2" t="s">
        <v>522</v>
      </c>
      <c r="G851" s="3" t="s">
        <v>13</v>
      </c>
      <c r="H851" s="1">
        <v>24</v>
      </c>
      <c r="I851" s="1">
        <v>5</v>
      </c>
      <c r="J851"/>
      <c r="K851"/>
      <c r="L851"/>
    </row>
    <row r="852" spans="1:12" x14ac:dyDescent="0.3">
      <c r="A852" s="1">
        <v>5851</v>
      </c>
      <c r="B852" s="3" t="s">
        <v>1357</v>
      </c>
      <c r="C852" s="3" t="s">
        <v>35</v>
      </c>
      <c r="D852" s="3" t="s">
        <v>11</v>
      </c>
      <c r="E852" s="1">
        <v>98096</v>
      </c>
      <c r="F852" s="2" t="s">
        <v>1358</v>
      </c>
      <c r="G852" s="3" t="s">
        <v>13</v>
      </c>
      <c r="H852" s="1">
        <v>30</v>
      </c>
      <c r="I852" s="1">
        <v>1</v>
      </c>
      <c r="J852"/>
      <c r="K852"/>
      <c r="L852"/>
    </row>
    <row r="853" spans="1:12" x14ac:dyDescent="0.3">
      <c r="A853" s="1">
        <v>5852</v>
      </c>
      <c r="B853" s="3" t="s">
        <v>887</v>
      </c>
      <c r="C853" s="3" t="s">
        <v>26</v>
      </c>
      <c r="D853" s="3" t="s">
        <v>49</v>
      </c>
      <c r="E853" s="1">
        <v>94869</v>
      </c>
      <c r="F853" s="2" t="s">
        <v>1359</v>
      </c>
      <c r="G853" s="3" t="s">
        <v>13</v>
      </c>
      <c r="H853" s="1">
        <v>38</v>
      </c>
      <c r="I853" s="1">
        <v>1</v>
      </c>
      <c r="J853"/>
      <c r="K853"/>
      <c r="L853"/>
    </row>
    <row r="854" spans="1:12" x14ac:dyDescent="0.3">
      <c r="A854" s="1">
        <v>5853</v>
      </c>
      <c r="B854" s="3" t="s">
        <v>1360</v>
      </c>
      <c r="C854" s="3" t="s">
        <v>10</v>
      </c>
      <c r="D854" s="3" t="s">
        <v>36</v>
      </c>
      <c r="E854" s="1">
        <v>69359</v>
      </c>
      <c r="F854" s="2" t="s">
        <v>119</v>
      </c>
      <c r="G854" s="3" t="s">
        <v>24</v>
      </c>
      <c r="H854" s="1">
        <v>55</v>
      </c>
      <c r="I854" s="1">
        <v>1</v>
      </c>
      <c r="J854"/>
      <c r="K854"/>
      <c r="L854"/>
    </row>
    <row r="855" spans="1:12" x14ac:dyDescent="0.3">
      <c r="A855" s="1">
        <v>5854</v>
      </c>
      <c r="B855" s="3" t="s">
        <v>1178</v>
      </c>
      <c r="C855" s="3" t="s">
        <v>19</v>
      </c>
      <c r="D855" s="3" t="s">
        <v>27</v>
      </c>
      <c r="E855" s="1">
        <v>75622</v>
      </c>
      <c r="F855" s="2" t="s">
        <v>1361</v>
      </c>
      <c r="G855" s="3" t="s">
        <v>24</v>
      </c>
      <c r="H855" s="1">
        <v>21</v>
      </c>
      <c r="I855" s="1">
        <v>3</v>
      </c>
      <c r="J855"/>
      <c r="K855"/>
      <c r="L855"/>
    </row>
    <row r="856" spans="1:12" x14ac:dyDescent="0.3">
      <c r="A856" s="1">
        <v>5855</v>
      </c>
      <c r="B856" s="3" t="s">
        <v>1268</v>
      </c>
      <c r="C856" s="3" t="s">
        <v>35</v>
      </c>
      <c r="D856" s="3" t="s">
        <v>36</v>
      </c>
      <c r="E856" s="1">
        <v>28812</v>
      </c>
      <c r="F856" s="2" t="s">
        <v>1362</v>
      </c>
      <c r="G856" s="3" t="s">
        <v>24</v>
      </c>
      <c r="H856" s="1">
        <v>42</v>
      </c>
      <c r="I856" s="1">
        <v>4</v>
      </c>
      <c r="J856"/>
      <c r="K856"/>
      <c r="L856"/>
    </row>
    <row r="857" spans="1:12" x14ac:dyDescent="0.3">
      <c r="A857" s="1">
        <v>5856</v>
      </c>
      <c r="B857" s="3" t="s">
        <v>1363</v>
      </c>
      <c r="C857" s="3" t="s">
        <v>10</v>
      </c>
      <c r="D857" s="3" t="s">
        <v>20</v>
      </c>
      <c r="E857" s="1">
        <v>67890</v>
      </c>
      <c r="F857" s="2" t="s">
        <v>201</v>
      </c>
      <c r="G857" s="3" t="s">
        <v>13</v>
      </c>
      <c r="H857" s="1">
        <v>44</v>
      </c>
      <c r="I857" s="1">
        <v>3</v>
      </c>
      <c r="J857"/>
      <c r="K857"/>
      <c r="L857"/>
    </row>
    <row r="858" spans="1:12" x14ac:dyDescent="0.3">
      <c r="A858" s="1">
        <v>5857</v>
      </c>
      <c r="B858" s="3" t="s">
        <v>1364</v>
      </c>
      <c r="C858" s="3" t="s">
        <v>44</v>
      </c>
      <c r="D858" s="3" t="s">
        <v>52</v>
      </c>
      <c r="E858" s="1">
        <v>87520</v>
      </c>
      <c r="F858" s="2" t="s">
        <v>1365</v>
      </c>
      <c r="G858" s="3" t="s">
        <v>24</v>
      </c>
      <c r="H858" s="1">
        <v>52</v>
      </c>
      <c r="I858" s="1">
        <v>4</v>
      </c>
      <c r="J858"/>
      <c r="K858"/>
      <c r="L858"/>
    </row>
    <row r="859" spans="1:12" x14ac:dyDescent="0.3">
      <c r="A859" s="1">
        <v>5858</v>
      </c>
      <c r="B859" s="3" t="s">
        <v>1366</v>
      </c>
      <c r="C859" s="3" t="s">
        <v>26</v>
      </c>
      <c r="D859" s="3" t="s">
        <v>87</v>
      </c>
      <c r="E859" s="1">
        <v>43412</v>
      </c>
      <c r="F859" s="2" t="s">
        <v>1367</v>
      </c>
      <c r="G859" s="3" t="s">
        <v>13</v>
      </c>
      <c r="H859" s="1">
        <v>49</v>
      </c>
      <c r="I859" s="1">
        <v>4</v>
      </c>
      <c r="J859"/>
      <c r="K859"/>
      <c r="L859"/>
    </row>
    <row r="860" spans="1:12" x14ac:dyDescent="0.3">
      <c r="A860" s="1">
        <v>5859</v>
      </c>
      <c r="B860" s="3" t="s">
        <v>1030</v>
      </c>
      <c r="C860" s="3" t="s">
        <v>26</v>
      </c>
      <c r="D860" s="3" t="s">
        <v>16</v>
      </c>
      <c r="E860" s="1">
        <v>129462</v>
      </c>
      <c r="F860" s="2" t="s">
        <v>1368</v>
      </c>
      <c r="G860" s="3" t="s">
        <v>24</v>
      </c>
      <c r="H860" s="1">
        <v>31</v>
      </c>
      <c r="I860" s="1">
        <v>1</v>
      </c>
      <c r="J860"/>
      <c r="K860"/>
      <c r="L860"/>
    </row>
    <row r="861" spans="1:12" x14ac:dyDescent="0.3">
      <c r="A861" s="1">
        <v>5860</v>
      </c>
      <c r="B861" s="3" t="s">
        <v>1369</v>
      </c>
      <c r="C861" s="3" t="s">
        <v>10</v>
      </c>
      <c r="D861" s="3" t="s">
        <v>11</v>
      </c>
      <c r="E861" s="1">
        <v>119539</v>
      </c>
      <c r="F861" s="2" t="s">
        <v>107</v>
      </c>
      <c r="G861" s="3" t="s">
        <v>24</v>
      </c>
      <c r="H861" s="1">
        <v>31</v>
      </c>
      <c r="I861" s="1">
        <v>2</v>
      </c>
      <c r="J861"/>
      <c r="K861"/>
      <c r="L861"/>
    </row>
    <row r="862" spans="1:12" x14ac:dyDescent="0.3">
      <c r="A862" s="1">
        <v>5861</v>
      </c>
      <c r="B862" s="3" t="s">
        <v>1370</v>
      </c>
      <c r="C862" s="3" t="s">
        <v>44</v>
      </c>
      <c r="D862" s="3" t="s">
        <v>61</v>
      </c>
      <c r="E862" s="1">
        <v>87520</v>
      </c>
      <c r="F862" s="2" t="s">
        <v>1371</v>
      </c>
      <c r="G862" s="3" t="s">
        <v>13</v>
      </c>
      <c r="H862" s="1">
        <v>44</v>
      </c>
      <c r="I862" s="1">
        <v>4</v>
      </c>
      <c r="J862"/>
      <c r="K862"/>
      <c r="L862"/>
    </row>
    <row r="863" spans="1:12" x14ac:dyDescent="0.3">
      <c r="A863" s="1">
        <v>5862</v>
      </c>
      <c r="B863" s="3" t="s">
        <v>484</v>
      </c>
      <c r="C863" s="3" t="s">
        <v>44</v>
      </c>
      <c r="D863" s="3" t="s">
        <v>87</v>
      </c>
      <c r="E863" s="1">
        <v>136649</v>
      </c>
      <c r="F863" s="2" t="s">
        <v>1372</v>
      </c>
      <c r="G863" s="3" t="s">
        <v>24</v>
      </c>
      <c r="H863" s="1">
        <v>50</v>
      </c>
      <c r="I863" s="1">
        <v>4</v>
      </c>
      <c r="J863"/>
      <c r="K863"/>
      <c r="L863"/>
    </row>
    <row r="864" spans="1:12" x14ac:dyDescent="0.3">
      <c r="A864" s="1">
        <v>5863</v>
      </c>
      <c r="B864" s="3" t="s">
        <v>1373</v>
      </c>
      <c r="C864" s="3" t="s">
        <v>35</v>
      </c>
      <c r="D864" s="3" t="s">
        <v>27</v>
      </c>
      <c r="E864" s="1">
        <v>36121</v>
      </c>
      <c r="F864" s="2" t="s">
        <v>1374</v>
      </c>
      <c r="G864" s="3" t="s">
        <v>13</v>
      </c>
      <c r="H864" s="1">
        <v>35</v>
      </c>
      <c r="I864" s="1">
        <v>5</v>
      </c>
      <c r="J864"/>
      <c r="K864"/>
      <c r="L864"/>
    </row>
    <row r="865" spans="1:12" x14ac:dyDescent="0.3">
      <c r="A865" s="1">
        <v>5864</v>
      </c>
      <c r="B865" s="3" t="s">
        <v>1375</v>
      </c>
      <c r="C865" s="3" t="s">
        <v>15</v>
      </c>
      <c r="D865" s="3" t="s">
        <v>61</v>
      </c>
      <c r="E865" s="1">
        <v>101531</v>
      </c>
      <c r="F865" s="2" t="s">
        <v>1341</v>
      </c>
      <c r="G865" s="3" t="s">
        <v>13</v>
      </c>
      <c r="H865" s="1">
        <v>46</v>
      </c>
      <c r="I865" s="1">
        <v>1</v>
      </c>
      <c r="J865"/>
      <c r="K865"/>
      <c r="L865"/>
    </row>
    <row r="866" spans="1:12" x14ac:dyDescent="0.3">
      <c r="A866" s="1">
        <v>5865</v>
      </c>
      <c r="B866" s="3" t="s">
        <v>1376</v>
      </c>
      <c r="C866" s="3" t="s">
        <v>44</v>
      </c>
      <c r="D866" s="3" t="s">
        <v>61</v>
      </c>
      <c r="E866" s="1">
        <v>87520</v>
      </c>
      <c r="F866" s="2" t="s">
        <v>1377</v>
      </c>
      <c r="G866" s="3" t="s">
        <v>24</v>
      </c>
      <c r="H866" s="1">
        <v>29</v>
      </c>
      <c r="I866" s="1">
        <v>5</v>
      </c>
      <c r="J866"/>
      <c r="K866"/>
      <c r="L866"/>
    </row>
    <row r="867" spans="1:12" x14ac:dyDescent="0.3">
      <c r="A867" s="1">
        <v>5866</v>
      </c>
      <c r="B867" s="3" t="s">
        <v>1378</v>
      </c>
      <c r="C867" s="3" t="s">
        <v>39</v>
      </c>
      <c r="D867" s="3" t="s">
        <v>36</v>
      </c>
      <c r="E867" s="1">
        <v>111680</v>
      </c>
      <c r="F867" s="2" t="s">
        <v>1379</v>
      </c>
      <c r="G867" s="3" t="s">
        <v>24</v>
      </c>
      <c r="H867" s="1">
        <v>29</v>
      </c>
      <c r="I867" s="1">
        <v>5</v>
      </c>
      <c r="J867"/>
      <c r="K867"/>
      <c r="L867"/>
    </row>
    <row r="868" spans="1:12" x14ac:dyDescent="0.3">
      <c r="A868" s="1">
        <v>5867</v>
      </c>
      <c r="B868" s="3" t="s">
        <v>1380</v>
      </c>
      <c r="C868" s="3" t="s">
        <v>70</v>
      </c>
      <c r="D868" s="3" t="s">
        <v>16</v>
      </c>
      <c r="E868" s="1">
        <v>65093</v>
      </c>
      <c r="F868" s="2" t="s">
        <v>1381</v>
      </c>
      <c r="G868" s="3" t="s">
        <v>13</v>
      </c>
      <c r="H868" s="1">
        <v>35</v>
      </c>
      <c r="I868" s="1">
        <v>1</v>
      </c>
      <c r="J868"/>
      <c r="K868"/>
      <c r="L868"/>
    </row>
    <row r="869" spans="1:12" x14ac:dyDescent="0.3">
      <c r="A869" s="1">
        <v>5868</v>
      </c>
      <c r="B869" s="3" t="s">
        <v>1591</v>
      </c>
      <c r="C869" s="3" t="s">
        <v>44</v>
      </c>
      <c r="D869" s="3" t="s">
        <v>49</v>
      </c>
      <c r="E869" s="1">
        <v>41364</v>
      </c>
      <c r="F869" s="2" t="s">
        <v>1382</v>
      </c>
      <c r="G869" s="3" t="s">
        <v>13</v>
      </c>
      <c r="H869" s="1">
        <v>46</v>
      </c>
      <c r="I869" s="1">
        <v>3</v>
      </c>
      <c r="J869"/>
      <c r="K869"/>
      <c r="L869"/>
    </row>
    <row r="870" spans="1:12" x14ac:dyDescent="0.3">
      <c r="A870" s="1">
        <v>5869</v>
      </c>
      <c r="B870" s="3" t="s">
        <v>1383</v>
      </c>
      <c r="C870" s="3" t="s">
        <v>39</v>
      </c>
      <c r="D870" s="3" t="s">
        <v>87</v>
      </c>
      <c r="E870" s="1">
        <v>112976</v>
      </c>
      <c r="F870" s="2" t="s">
        <v>1384</v>
      </c>
      <c r="G870" s="3" t="s">
        <v>13</v>
      </c>
      <c r="H870" s="1">
        <v>33</v>
      </c>
      <c r="I870" s="1">
        <v>5</v>
      </c>
      <c r="J870"/>
      <c r="K870"/>
      <c r="L870"/>
    </row>
    <row r="871" spans="1:12" x14ac:dyDescent="0.3">
      <c r="A871" s="1">
        <v>5870</v>
      </c>
      <c r="B871" s="3" t="s">
        <v>931</v>
      </c>
      <c r="C871" s="3" t="s">
        <v>10</v>
      </c>
      <c r="D871" s="3" t="s">
        <v>20</v>
      </c>
      <c r="E871" s="1">
        <v>147050</v>
      </c>
      <c r="F871" s="2" t="s">
        <v>1385</v>
      </c>
      <c r="G871" s="3" t="s">
        <v>24</v>
      </c>
      <c r="H871" s="1">
        <v>38</v>
      </c>
      <c r="I871" s="1">
        <v>2</v>
      </c>
      <c r="J871"/>
      <c r="K871"/>
      <c r="L871"/>
    </row>
    <row r="872" spans="1:12" x14ac:dyDescent="0.3">
      <c r="A872" s="1">
        <v>5871</v>
      </c>
      <c r="B872" s="3" t="s">
        <v>341</v>
      </c>
      <c r="C872" s="3" t="s">
        <v>19</v>
      </c>
      <c r="D872" s="3" t="s">
        <v>49</v>
      </c>
      <c r="E872" s="1">
        <v>138817</v>
      </c>
      <c r="F872" s="2" t="s">
        <v>1386</v>
      </c>
      <c r="G872" s="3" t="s">
        <v>1534</v>
      </c>
      <c r="H872" s="1">
        <v>33</v>
      </c>
      <c r="I872" s="1">
        <v>3</v>
      </c>
      <c r="J872"/>
      <c r="K872"/>
      <c r="L872"/>
    </row>
    <row r="873" spans="1:12" x14ac:dyDescent="0.3">
      <c r="A873" s="1">
        <v>5872</v>
      </c>
      <c r="B873" s="3" t="s">
        <v>1387</v>
      </c>
      <c r="C873" s="3" t="s">
        <v>26</v>
      </c>
      <c r="D873" s="3" t="s">
        <v>49</v>
      </c>
      <c r="E873" s="1">
        <v>87520</v>
      </c>
      <c r="F873" s="2" t="s">
        <v>1388</v>
      </c>
      <c r="G873" s="3" t="s">
        <v>13</v>
      </c>
      <c r="H873" s="1">
        <v>53</v>
      </c>
      <c r="I873" s="1">
        <v>3</v>
      </c>
      <c r="J873"/>
      <c r="K873"/>
      <c r="L873"/>
    </row>
    <row r="874" spans="1:12" x14ac:dyDescent="0.3">
      <c r="A874" s="1">
        <v>5873</v>
      </c>
      <c r="B874" s="3" t="s">
        <v>126</v>
      </c>
      <c r="C874" s="3" t="s">
        <v>10</v>
      </c>
      <c r="D874" s="3" t="s">
        <v>49</v>
      </c>
      <c r="E874" s="1">
        <v>87520</v>
      </c>
      <c r="F874" s="2" t="s">
        <v>1389</v>
      </c>
      <c r="G874" s="3" t="s">
        <v>24</v>
      </c>
      <c r="H874" s="1">
        <v>49</v>
      </c>
      <c r="I874" s="1">
        <v>4</v>
      </c>
      <c r="J874"/>
      <c r="K874"/>
      <c r="L874"/>
    </row>
    <row r="875" spans="1:12" x14ac:dyDescent="0.3">
      <c r="A875" s="1">
        <v>5874</v>
      </c>
      <c r="B875" s="3" t="s">
        <v>142</v>
      </c>
      <c r="C875" s="3" t="s">
        <v>39</v>
      </c>
      <c r="D875" s="3" t="s">
        <v>61</v>
      </c>
      <c r="E875" s="1">
        <v>87520</v>
      </c>
      <c r="F875" s="2" t="s">
        <v>1390</v>
      </c>
      <c r="G875" s="3" t="s">
        <v>24</v>
      </c>
      <c r="H875" s="1">
        <v>39</v>
      </c>
      <c r="I875" s="1">
        <v>3</v>
      </c>
      <c r="J875"/>
      <c r="K875"/>
      <c r="L875"/>
    </row>
    <row r="876" spans="1:12" x14ac:dyDescent="0.3">
      <c r="A876" s="1">
        <v>5875</v>
      </c>
      <c r="B876" s="3" t="s">
        <v>151</v>
      </c>
      <c r="C876" s="3" t="s">
        <v>10</v>
      </c>
      <c r="D876" s="3" t="s">
        <v>52</v>
      </c>
      <c r="E876" s="1">
        <v>61527</v>
      </c>
      <c r="F876" s="2" t="s">
        <v>1391</v>
      </c>
      <c r="G876" s="3" t="s">
        <v>1534</v>
      </c>
      <c r="H876" s="1">
        <v>29</v>
      </c>
      <c r="I876" s="1">
        <v>3</v>
      </c>
      <c r="J876"/>
      <c r="K876"/>
      <c r="L876"/>
    </row>
    <row r="877" spans="1:12" x14ac:dyDescent="0.3">
      <c r="A877" s="1">
        <v>5876</v>
      </c>
      <c r="B877" s="3" t="s">
        <v>648</v>
      </c>
      <c r="C877" s="3" t="s">
        <v>35</v>
      </c>
      <c r="D877" s="3" t="s">
        <v>11</v>
      </c>
      <c r="E877" s="1">
        <v>44218</v>
      </c>
      <c r="F877" s="2" t="s">
        <v>1392</v>
      </c>
      <c r="G877" s="3" t="s">
        <v>13</v>
      </c>
      <c r="H877" s="1">
        <v>22</v>
      </c>
      <c r="I877" s="1">
        <v>1</v>
      </c>
      <c r="J877"/>
      <c r="K877"/>
      <c r="L877"/>
    </row>
    <row r="878" spans="1:12" x14ac:dyDescent="0.3">
      <c r="A878" s="1">
        <v>5877</v>
      </c>
      <c r="B878" s="3" t="s">
        <v>1592</v>
      </c>
      <c r="C878" s="3" t="s">
        <v>79</v>
      </c>
      <c r="D878" s="3" t="s">
        <v>87</v>
      </c>
      <c r="E878" s="1">
        <v>129100</v>
      </c>
      <c r="F878" s="2" t="s">
        <v>1393</v>
      </c>
      <c r="G878" s="3" t="s">
        <v>24</v>
      </c>
      <c r="H878" s="1">
        <v>22</v>
      </c>
      <c r="I878" s="1">
        <v>5</v>
      </c>
      <c r="J878"/>
      <c r="K878"/>
      <c r="L878"/>
    </row>
    <row r="879" spans="1:12" x14ac:dyDescent="0.3">
      <c r="A879" s="1">
        <v>5878</v>
      </c>
      <c r="B879" s="3" t="s">
        <v>113</v>
      </c>
      <c r="C879" s="3" t="s">
        <v>26</v>
      </c>
      <c r="D879" s="3" t="s">
        <v>61</v>
      </c>
      <c r="E879" s="1">
        <v>98671</v>
      </c>
      <c r="F879" s="2" t="s">
        <v>268</v>
      </c>
      <c r="G879" s="3" t="s">
        <v>24</v>
      </c>
      <c r="H879" s="1">
        <v>47</v>
      </c>
      <c r="I879" s="1">
        <v>3</v>
      </c>
      <c r="J879"/>
      <c r="K879"/>
      <c r="L879"/>
    </row>
    <row r="880" spans="1:12" x14ac:dyDescent="0.3">
      <c r="A880" s="1">
        <v>5879</v>
      </c>
      <c r="B880" s="3" t="s">
        <v>664</v>
      </c>
      <c r="C880" s="3" t="s">
        <v>26</v>
      </c>
      <c r="D880" s="3" t="s">
        <v>30</v>
      </c>
      <c r="E880" s="1">
        <v>87520</v>
      </c>
      <c r="F880" s="2" t="s">
        <v>1394</v>
      </c>
      <c r="G880" s="3" t="s">
        <v>13</v>
      </c>
      <c r="H880" s="1">
        <v>22</v>
      </c>
      <c r="I880" s="1">
        <v>5</v>
      </c>
      <c r="J880"/>
      <c r="K880"/>
      <c r="L880"/>
    </row>
    <row r="881" spans="1:12" x14ac:dyDescent="0.3">
      <c r="A881" s="1">
        <v>5880</v>
      </c>
      <c r="B881" s="3" t="s">
        <v>704</v>
      </c>
      <c r="C881" s="3" t="s">
        <v>15</v>
      </c>
      <c r="D881" s="3" t="s">
        <v>16</v>
      </c>
      <c r="E881" s="1">
        <v>125923</v>
      </c>
      <c r="F881" s="2" t="s">
        <v>1395</v>
      </c>
      <c r="G881" s="3" t="s">
        <v>13</v>
      </c>
      <c r="H881" s="1">
        <v>25</v>
      </c>
      <c r="I881" s="1">
        <v>4</v>
      </c>
      <c r="J881"/>
      <c r="K881"/>
      <c r="L881"/>
    </row>
    <row r="882" spans="1:12" x14ac:dyDescent="0.3">
      <c r="A882" s="1">
        <v>5881</v>
      </c>
      <c r="B882" s="3" t="s">
        <v>65</v>
      </c>
      <c r="C882" s="3" t="s">
        <v>10</v>
      </c>
      <c r="D882" s="3" t="s">
        <v>36</v>
      </c>
      <c r="E882" s="1">
        <v>30401</v>
      </c>
      <c r="F882" s="2" t="s">
        <v>1396</v>
      </c>
      <c r="G882" s="3" t="s">
        <v>24</v>
      </c>
      <c r="H882" s="1">
        <v>47</v>
      </c>
      <c r="I882" s="1">
        <v>4</v>
      </c>
      <c r="J882"/>
      <c r="K882"/>
      <c r="L882"/>
    </row>
    <row r="883" spans="1:12" x14ac:dyDescent="0.3">
      <c r="A883" s="1">
        <v>5882</v>
      </c>
      <c r="B883" s="3" t="s">
        <v>1397</v>
      </c>
      <c r="C883" s="3" t="s">
        <v>79</v>
      </c>
      <c r="D883" s="3" t="s">
        <v>20</v>
      </c>
      <c r="E883" s="1">
        <v>78685</v>
      </c>
      <c r="F883" s="2" t="s">
        <v>1398</v>
      </c>
      <c r="G883" s="3" t="s">
        <v>13</v>
      </c>
      <c r="H883" s="1">
        <v>42</v>
      </c>
      <c r="I883" s="1">
        <v>2</v>
      </c>
      <c r="J883"/>
      <c r="K883"/>
      <c r="L883"/>
    </row>
    <row r="884" spans="1:12" x14ac:dyDescent="0.3">
      <c r="A884" s="1">
        <v>5883</v>
      </c>
      <c r="B884" s="3" t="s">
        <v>1399</v>
      </c>
      <c r="C884" s="3" t="s">
        <v>15</v>
      </c>
      <c r="D884" s="3" t="s">
        <v>52</v>
      </c>
      <c r="E884" s="1">
        <v>87520</v>
      </c>
      <c r="F884" s="2" t="s">
        <v>1400</v>
      </c>
      <c r="G884" s="3" t="s">
        <v>13</v>
      </c>
      <c r="H884" s="1">
        <v>38</v>
      </c>
      <c r="I884" s="1">
        <v>2</v>
      </c>
      <c r="J884"/>
      <c r="K884"/>
      <c r="L884"/>
    </row>
    <row r="885" spans="1:12" x14ac:dyDescent="0.3">
      <c r="A885" s="1">
        <v>5884</v>
      </c>
      <c r="B885" s="3" t="s">
        <v>1401</v>
      </c>
      <c r="C885" s="3" t="s">
        <v>63</v>
      </c>
      <c r="D885" s="3" t="s">
        <v>16</v>
      </c>
      <c r="E885" s="1">
        <v>60518</v>
      </c>
      <c r="F885" s="2" t="s">
        <v>1402</v>
      </c>
      <c r="G885" s="3" t="s">
        <v>24</v>
      </c>
      <c r="H885" s="1">
        <v>54</v>
      </c>
      <c r="I885" s="1">
        <v>5</v>
      </c>
      <c r="J885"/>
      <c r="K885"/>
      <c r="L885"/>
    </row>
    <row r="886" spans="1:12" x14ac:dyDescent="0.3">
      <c r="A886" s="1">
        <v>5885</v>
      </c>
      <c r="B886" s="3" t="s">
        <v>1235</v>
      </c>
      <c r="C886" s="3" t="s">
        <v>19</v>
      </c>
      <c r="D886" s="3" t="s">
        <v>11</v>
      </c>
      <c r="E886" s="1">
        <v>30776</v>
      </c>
      <c r="F886" s="2" t="s">
        <v>1403</v>
      </c>
      <c r="G886" s="3" t="s">
        <v>24</v>
      </c>
      <c r="H886" s="1">
        <v>38</v>
      </c>
      <c r="I886" s="1">
        <v>2</v>
      </c>
      <c r="J886"/>
      <c r="K886"/>
      <c r="L886"/>
    </row>
    <row r="887" spans="1:12" x14ac:dyDescent="0.3">
      <c r="A887" s="1">
        <v>5886</v>
      </c>
      <c r="B887" s="3" t="s">
        <v>486</v>
      </c>
      <c r="C887" s="3" t="s">
        <v>63</v>
      </c>
      <c r="D887" s="3" t="s">
        <v>16</v>
      </c>
      <c r="E887" s="1">
        <v>92014</v>
      </c>
      <c r="F887" s="2" t="s">
        <v>1404</v>
      </c>
      <c r="G887" s="3" t="s">
        <v>13</v>
      </c>
      <c r="H887" s="1">
        <v>48</v>
      </c>
      <c r="I887" s="1">
        <v>3</v>
      </c>
      <c r="J887"/>
      <c r="K887"/>
      <c r="L887"/>
    </row>
    <row r="888" spans="1:12" x14ac:dyDescent="0.3">
      <c r="A888" s="1">
        <v>5887</v>
      </c>
      <c r="B888" s="3" t="s">
        <v>1405</v>
      </c>
      <c r="C888" s="3" t="s">
        <v>19</v>
      </c>
      <c r="D888" s="3" t="s">
        <v>61</v>
      </c>
      <c r="E888" s="1">
        <v>100215</v>
      </c>
      <c r="F888" s="2" t="s">
        <v>1406</v>
      </c>
      <c r="G888" s="3" t="s">
        <v>24</v>
      </c>
      <c r="H888" s="1">
        <v>25</v>
      </c>
      <c r="I888" s="1">
        <v>5</v>
      </c>
      <c r="J888"/>
      <c r="K888"/>
      <c r="L888"/>
    </row>
    <row r="889" spans="1:12" x14ac:dyDescent="0.3">
      <c r="A889" s="1">
        <v>5888</v>
      </c>
      <c r="B889" s="3" t="s">
        <v>667</v>
      </c>
      <c r="C889" s="3" t="s">
        <v>26</v>
      </c>
      <c r="D889" s="3" t="s">
        <v>87</v>
      </c>
      <c r="E889" s="1">
        <v>40329</v>
      </c>
      <c r="F889" s="2" t="s">
        <v>1407</v>
      </c>
      <c r="G889" s="3" t="s">
        <v>13</v>
      </c>
      <c r="H889" s="1">
        <v>30</v>
      </c>
      <c r="I889" s="1">
        <v>1</v>
      </c>
      <c r="J889"/>
      <c r="K889"/>
      <c r="L889"/>
    </row>
    <row r="890" spans="1:12" x14ac:dyDescent="0.3">
      <c r="A890" s="1">
        <v>5889</v>
      </c>
      <c r="B890" s="3" t="s">
        <v>1408</v>
      </c>
      <c r="C890" s="3" t="s">
        <v>10</v>
      </c>
      <c r="D890" s="3" t="s">
        <v>49</v>
      </c>
      <c r="E890" s="1">
        <v>148087</v>
      </c>
      <c r="F890" s="2" t="s">
        <v>1409</v>
      </c>
      <c r="G890" s="3" t="s">
        <v>24</v>
      </c>
      <c r="H890" s="1">
        <v>50</v>
      </c>
      <c r="I890" s="1">
        <v>1</v>
      </c>
      <c r="J890"/>
      <c r="K890"/>
      <c r="L890"/>
    </row>
    <row r="891" spans="1:12" x14ac:dyDescent="0.3">
      <c r="A891" s="1">
        <v>5890</v>
      </c>
      <c r="B891" s="3" t="s">
        <v>1256</v>
      </c>
      <c r="C891" s="3" t="s">
        <v>44</v>
      </c>
      <c r="D891" s="3" t="s">
        <v>36</v>
      </c>
      <c r="E891" s="1">
        <v>133360</v>
      </c>
      <c r="F891" s="2" t="s">
        <v>1410</v>
      </c>
      <c r="G891" s="3" t="s">
        <v>24</v>
      </c>
      <c r="H891" s="1">
        <v>54</v>
      </c>
      <c r="I891" s="1">
        <v>2</v>
      </c>
      <c r="J891"/>
      <c r="K891"/>
      <c r="L891"/>
    </row>
    <row r="892" spans="1:12" x14ac:dyDescent="0.3">
      <c r="A892" s="1">
        <v>5891</v>
      </c>
      <c r="B892" s="3" t="s">
        <v>1310</v>
      </c>
      <c r="C892" s="3" t="s">
        <v>70</v>
      </c>
      <c r="D892" s="3" t="s">
        <v>36</v>
      </c>
      <c r="E892" s="1">
        <v>45453</v>
      </c>
      <c r="F892" s="2" t="s">
        <v>1411</v>
      </c>
      <c r="G892" s="3" t="s">
        <v>13</v>
      </c>
      <c r="H892" s="1">
        <v>29</v>
      </c>
      <c r="I892" s="1">
        <v>5</v>
      </c>
      <c r="J892"/>
      <c r="K892"/>
      <c r="L892"/>
    </row>
    <row r="893" spans="1:12" x14ac:dyDescent="0.3">
      <c r="A893" s="1">
        <v>5892</v>
      </c>
      <c r="B893" s="3" t="s">
        <v>1412</v>
      </c>
      <c r="C893" s="3" t="s">
        <v>63</v>
      </c>
      <c r="D893" s="3" t="s">
        <v>16</v>
      </c>
      <c r="E893" s="1">
        <v>77479</v>
      </c>
      <c r="F893" s="2" t="s">
        <v>1413</v>
      </c>
      <c r="G893" s="3" t="s">
        <v>24</v>
      </c>
      <c r="H893" s="1">
        <v>33</v>
      </c>
      <c r="I893" s="1">
        <v>3</v>
      </c>
      <c r="J893"/>
      <c r="K893"/>
      <c r="L893"/>
    </row>
    <row r="894" spans="1:12" x14ac:dyDescent="0.3">
      <c r="A894" s="1">
        <v>5893</v>
      </c>
      <c r="B894" s="3" t="s">
        <v>924</v>
      </c>
      <c r="C894" s="3" t="s">
        <v>19</v>
      </c>
      <c r="D894" s="3" t="s">
        <v>61</v>
      </c>
      <c r="E894" s="1">
        <v>92272</v>
      </c>
      <c r="F894" s="2" t="s">
        <v>1249</v>
      </c>
      <c r="G894" s="3" t="s">
        <v>13</v>
      </c>
      <c r="H894" s="1">
        <v>35</v>
      </c>
      <c r="I894" s="1">
        <v>5</v>
      </c>
      <c r="J894"/>
      <c r="K894"/>
      <c r="L894"/>
    </row>
    <row r="895" spans="1:12" x14ac:dyDescent="0.3">
      <c r="A895" s="1">
        <v>5894</v>
      </c>
      <c r="B895" s="3" t="s">
        <v>106</v>
      </c>
      <c r="C895" s="3" t="s">
        <v>26</v>
      </c>
      <c r="D895" s="3" t="s">
        <v>16</v>
      </c>
      <c r="E895" s="1">
        <v>126848</v>
      </c>
      <c r="F895" s="2" t="s">
        <v>1414</v>
      </c>
      <c r="G895" s="3" t="s">
        <v>24</v>
      </c>
      <c r="H895" s="1">
        <v>25</v>
      </c>
      <c r="I895" s="1">
        <v>5</v>
      </c>
      <c r="J895"/>
      <c r="K895"/>
      <c r="L895"/>
    </row>
    <row r="896" spans="1:12" x14ac:dyDescent="0.3">
      <c r="A896" s="1">
        <v>5895</v>
      </c>
      <c r="B896" s="3" t="s">
        <v>1415</v>
      </c>
      <c r="C896" s="3" t="s">
        <v>35</v>
      </c>
      <c r="D896" s="3" t="s">
        <v>49</v>
      </c>
      <c r="E896" s="1">
        <v>75091</v>
      </c>
      <c r="F896" s="2" t="s">
        <v>1416</v>
      </c>
      <c r="G896" s="3" t="s">
        <v>24</v>
      </c>
      <c r="H896" s="1">
        <v>42</v>
      </c>
      <c r="I896" s="1">
        <v>3</v>
      </c>
      <c r="J896"/>
      <c r="K896"/>
      <c r="L896"/>
    </row>
    <row r="897" spans="1:12" x14ac:dyDescent="0.3">
      <c r="A897" s="1">
        <v>5896</v>
      </c>
      <c r="B897" s="3" t="s">
        <v>1417</v>
      </c>
      <c r="C897" s="3" t="s">
        <v>15</v>
      </c>
      <c r="D897" s="3" t="s">
        <v>61</v>
      </c>
      <c r="E897" s="1">
        <v>105863</v>
      </c>
      <c r="F897" s="2" t="s">
        <v>663</v>
      </c>
      <c r="G897" s="3" t="s">
        <v>13</v>
      </c>
      <c r="H897" s="1">
        <v>39</v>
      </c>
      <c r="I897" s="1">
        <v>5</v>
      </c>
      <c r="J897"/>
      <c r="K897"/>
      <c r="L897"/>
    </row>
    <row r="898" spans="1:12" x14ac:dyDescent="0.3">
      <c r="A898" s="1">
        <v>5897</v>
      </c>
      <c r="B898" s="3" t="s">
        <v>1335</v>
      </c>
      <c r="C898" s="3" t="s">
        <v>79</v>
      </c>
      <c r="D898" s="3" t="s">
        <v>49</v>
      </c>
      <c r="E898" s="1">
        <v>77488</v>
      </c>
      <c r="F898" s="2" t="s">
        <v>1418</v>
      </c>
      <c r="G898" s="3" t="s">
        <v>13</v>
      </c>
      <c r="H898" s="1">
        <v>22</v>
      </c>
      <c r="I898" s="1">
        <v>5</v>
      </c>
      <c r="J898"/>
      <c r="K898"/>
      <c r="L898"/>
    </row>
    <row r="899" spans="1:12" x14ac:dyDescent="0.3">
      <c r="A899" s="1">
        <v>5898</v>
      </c>
      <c r="B899" s="3" t="s">
        <v>1419</v>
      </c>
      <c r="C899" s="3" t="s">
        <v>70</v>
      </c>
      <c r="D899" s="3" t="s">
        <v>49</v>
      </c>
      <c r="E899" s="1">
        <v>73857</v>
      </c>
      <c r="F899" s="2" t="s">
        <v>1420</v>
      </c>
      <c r="G899" s="3" t="s">
        <v>13</v>
      </c>
      <c r="H899" s="1">
        <v>36</v>
      </c>
      <c r="I899" s="1">
        <v>4</v>
      </c>
      <c r="J899"/>
      <c r="K899"/>
      <c r="L899"/>
    </row>
    <row r="900" spans="1:12" x14ac:dyDescent="0.3">
      <c r="A900" s="1">
        <v>5899</v>
      </c>
      <c r="B900" s="3" t="s">
        <v>618</v>
      </c>
      <c r="C900" s="3" t="s">
        <v>70</v>
      </c>
      <c r="D900" s="3" t="s">
        <v>27</v>
      </c>
      <c r="E900" s="1">
        <v>89273</v>
      </c>
      <c r="F900" s="2" t="s">
        <v>1421</v>
      </c>
      <c r="G900" s="3" t="s">
        <v>24</v>
      </c>
      <c r="H900" s="1">
        <v>52</v>
      </c>
      <c r="I900" s="1">
        <v>3</v>
      </c>
      <c r="J900"/>
      <c r="K900"/>
      <c r="L900"/>
    </row>
    <row r="901" spans="1:12" x14ac:dyDescent="0.3">
      <c r="A901" s="1">
        <v>5900</v>
      </c>
      <c r="B901" s="3" t="s">
        <v>98</v>
      </c>
      <c r="C901" s="3" t="s">
        <v>39</v>
      </c>
      <c r="D901" s="3" t="s">
        <v>11</v>
      </c>
      <c r="E901" s="1">
        <v>97125</v>
      </c>
      <c r="F901" s="2" t="s">
        <v>1422</v>
      </c>
      <c r="G901" s="3" t="s">
        <v>24</v>
      </c>
      <c r="H901" s="1">
        <v>55</v>
      </c>
      <c r="I901" s="1">
        <v>1</v>
      </c>
      <c r="J901"/>
      <c r="K901"/>
      <c r="L901"/>
    </row>
    <row r="902" spans="1:12" x14ac:dyDescent="0.3">
      <c r="A902" s="1">
        <v>5901</v>
      </c>
      <c r="B902" s="3" t="s">
        <v>1423</v>
      </c>
      <c r="C902" s="3" t="s">
        <v>79</v>
      </c>
      <c r="D902" s="3" t="s">
        <v>52</v>
      </c>
      <c r="E902" s="1">
        <v>71077</v>
      </c>
      <c r="F902" s="2" t="s">
        <v>799</v>
      </c>
      <c r="G902" s="3" t="s">
        <v>13</v>
      </c>
      <c r="H902" s="1">
        <v>51</v>
      </c>
      <c r="I902" s="1">
        <v>5</v>
      </c>
      <c r="J902"/>
      <c r="K902"/>
      <c r="L902"/>
    </row>
    <row r="903" spans="1:12" x14ac:dyDescent="0.3">
      <c r="A903" s="1">
        <v>5902</v>
      </c>
      <c r="B903" s="3" t="s">
        <v>106</v>
      </c>
      <c r="C903" s="3" t="s">
        <v>26</v>
      </c>
      <c r="D903" s="3" t="s">
        <v>20</v>
      </c>
      <c r="E903" s="1">
        <v>105692</v>
      </c>
      <c r="F903" s="2" t="s">
        <v>1424</v>
      </c>
      <c r="G903" s="3" t="s">
        <v>24</v>
      </c>
      <c r="H903" s="1">
        <v>54</v>
      </c>
      <c r="I903" s="1">
        <v>5</v>
      </c>
      <c r="J903"/>
      <c r="K903"/>
      <c r="L903"/>
    </row>
    <row r="904" spans="1:12" x14ac:dyDescent="0.3">
      <c r="A904" s="1">
        <v>5903</v>
      </c>
      <c r="B904" s="3" t="s">
        <v>1425</v>
      </c>
      <c r="C904" s="3" t="s">
        <v>10</v>
      </c>
      <c r="D904" s="3" t="s">
        <v>30</v>
      </c>
      <c r="E904" s="1">
        <v>54372</v>
      </c>
      <c r="F904" s="2" t="s">
        <v>1426</v>
      </c>
      <c r="G904" s="3" t="s">
        <v>13</v>
      </c>
      <c r="H904" s="1">
        <v>23</v>
      </c>
      <c r="I904" s="1">
        <v>4</v>
      </c>
      <c r="J904"/>
      <c r="K904"/>
      <c r="L904"/>
    </row>
    <row r="905" spans="1:12" x14ac:dyDescent="0.3">
      <c r="A905" s="1">
        <v>5904</v>
      </c>
      <c r="B905" s="3" t="s">
        <v>618</v>
      </c>
      <c r="C905" s="3" t="s">
        <v>63</v>
      </c>
      <c r="D905" s="3" t="s">
        <v>27</v>
      </c>
      <c r="E905" s="1">
        <v>126070</v>
      </c>
      <c r="F905" s="2" t="s">
        <v>1427</v>
      </c>
      <c r="G905" s="3" t="s">
        <v>24</v>
      </c>
      <c r="H905" s="1">
        <v>22</v>
      </c>
      <c r="I905" s="1">
        <v>3</v>
      </c>
      <c r="J905"/>
      <c r="K905"/>
      <c r="L905"/>
    </row>
    <row r="906" spans="1:12" x14ac:dyDescent="0.3">
      <c r="A906" s="1">
        <v>5905</v>
      </c>
      <c r="B906" s="3" t="s">
        <v>989</v>
      </c>
      <c r="C906" s="3" t="s">
        <v>63</v>
      </c>
      <c r="D906" s="3" t="s">
        <v>30</v>
      </c>
      <c r="E906" s="1">
        <v>133568</v>
      </c>
      <c r="F906" s="2" t="s">
        <v>1428</v>
      </c>
      <c r="G906" s="3" t="s">
        <v>24</v>
      </c>
      <c r="H906" s="1">
        <v>41</v>
      </c>
      <c r="I906" s="1">
        <v>5</v>
      </c>
      <c r="J906"/>
      <c r="K906"/>
      <c r="L906"/>
    </row>
    <row r="907" spans="1:12" x14ac:dyDescent="0.3">
      <c r="A907" s="1">
        <v>5906</v>
      </c>
      <c r="B907" s="3" t="s">
        <v>1369</v>
      </c>
      <c r="C907" s="3" t="s">
        <v>44</v>
      </c>
      <c r="D907" s="3" t="s">
        <v>36</v>
      </c>
      <c r="E907" s="1">
        <v>52579</v>
      </c>
      <c r="F907" s="2" t="s">
        <v>724</v>
      </c>
      <c r="G907" s="3" t="s">
        <v>13</v>
      </c>
      <c r="H907" s="1">
        <v>45</v>
      </c>
      <c r="I907" s="1">
        <v>4</v>
      </c>
      <c r="J907"/>
      <c r="K907"/>
      <c r="L907"/>
    </row>
    <row r="908" spans="1:12" x14ac:dyDescent="0.3">
      <c r="A908" s="1">
        <v>5907</v>
      </c>
      <c r="B908" s="3" t="s">
        <v>46</v>
      </c>
      <c r="C908" s="3" t="s">
        <v>35</v>
      </c>
      <c r="D908" s="3" t="s">
        <v>61</v>
      </c>
      <c r="E908" s="1">
        <v>130813</v>
      </c>
      <c r="F908" s="2" t="s">
        <v>1429</v>
      </c>
      <c r="G908" s="3" t="s">
        <v>24</v>
      </c>
      <c r="H908" s="1">
        <v>33</v>
      </c>
      <c r="I908" s="1">
        <v>2</v>
      </c>
      <c r="J908"/>
      <c r="K908"/>
      <c r="L908"/>
    </row>
    <row r="909" spans="1:12" x14ac:dyDescent="0.3">
      <c r="A909" s="1">
        <v>5908</v>
      </c>
      <c r="B909" s="3" t="s">
        <v>1430</v>
      </c>
      <c r="C909" s="3" t="s">
        <v>10</v>
      </c>
      <c r="D909" s="3" t="s">
        <v>61</v>
      </c>
      <c r="E909" s="1">
        <v>50018</v>
      </c>
      <c r="F909" s="2" t="s">
        <v>1431</v>
      </c>
      <c r="G909" s="3" t="s">
        <v>13</v>
      </c>
      <c r="H909" s="1">
        <v>44</v>
      </c>
      <c r="I909" s="1">
        <v>4</v>
      </c>
      <c r="J909"/>
      <c r="K909"/>
      <c r="L909"/>
    </row>
    <row r="910" spans="1:12" x14ac:dyDescent="0.3">
      <c r="A910" s="1">
        <v>5909</v>
      </c>
      <c r="B910" s="3" t="s">
        <v>1340</v>
      </c>
      <c r="C910" s="3" t="s">
        <v>15</v>
      </c>
      <c r="D910" s="3" t="s">
        <v>27</v>
      </c>
      <c r="E910" s="1">
        <v>108889</v>
      </c>
      <c r="F910" s="2" t="s">
        <v>1432</v>
      </c>
      <c r="G910" s="3" t="s">
        <v>13</v>
      </c>
      <c r="H910" s="1">
        <v>51</v>
      </c>
      <c r="I910" s="1">
        <v>4</v>
      </c>
      <c r="J910"/>
      <c r="K910"/>
      <c r="L910"/>
    </row>
    <row r="911" spans="1:12" x14ac:dyDescent="0.3">
      <c r="A911" s="1">
        <v>5910</v>
      </c>
      <c r="B911" s="3" t="s">
        <v>1433</v>
      </c>
      <c r="C911" s="3" t="s">
        <v>70</v>
      </c>
      <c r="D911" s="3" t="s">
        <v>36</v>
      </c>
      <c r="E911" s="1">
        <v>69279</v>
      </c>
      <c r="F911" s="2" t="s">
        <v>874</v>
      </c>
      <c r="G911" s="3" t="s">
        <v>1534</v>
      </c>
      <c r="H911" s="1">
        <v>28</v>
      </c>
      <c r="I911" s="1">
        <v>4</v>
      </c>
      <c r="J911"/>
      <c r="K911"/>
      <c r="L911"/>
    </row>
    <row r="912" spans="1:12" x14ac:dyDescent="0.3">
      <c r="A912" s="1">
        <v>5911</v>
      </c>
      <c r="B912" s="3" t="s">
        <v>1434</v>
      </c>
      <c r="C912" s="3" t="s">
        <v>39</v>
      </c>
      <c r="D912" s="3" t="s">
        <v>27</v>
      </c>
      <c r="E912" s="1">
        <v>113872</v>
      </c>
      <c r="F912" s="2" t="s">
        <v>1435</v>
      </c>
      <c r="G912" s="3" t="s">
        <v>24</v>
      </c>
      <c r="H912" s="1">
        <v>24</v>
      </c>
      <c r="I912" s="1">
        <v>5</v>
      </c>
      <c r="J912"/>
      <c r="K912"/>
      <c r="L912"/>
    </row>
    <row r="913" spans="1:12" x14ac:dyDescent="0.3">
      <c r="A913" s="1">
        <v>5912</v>
      </c>
      <c r="B913" s="3" t="s">
        <v>1436</v>
      </c>
      <c r="C913" s="3" t="s">
        <v>39</v>
      </c>
      <c r="D913" s="3" t="s">
        <v>27</v>
      </c>
      <c r="E913" s="1">
        <v>118408</v>
      </c>
      <c r="F913" s="2" t="s">
        <v>1437</v>
      </c>
      <c r="G913" s="3" t="s">
        <v>24</v>
      </c>
      <c r="H913" s="1">
        <v>33</v>
      </c>
      <c r="I913" s="1">
        <v>5</v>
      </c>
      <c r="J913"/>
      <c r="K913"/>
      <c r="L913"/>
    </row>
    <row r="914" spans="1:12" x14ac:dyDescent="0.3">
      <c r="A914" s="1">
        <v>5913</v>
      </c>
      <c r="B914" s="3" t="s">
        <v>1438</v>
      </c>
      <c r="C914" s="3" t="s">
        <v>79</v>
      </c>
      <c r="D914" s="3" t="s">
        <v>52</v>
      </c>
      <c r="E914" s="1">
        <v>130020</v>
      </c>
      <c r="F914" s="2" t="s">
        <v>1439</v>
      </c>
      <c r="G914" s="3" t="s">
        <v>24</v>
      </c>
      <c r="H914" s="1">
        <v>41</v>
      </c>
      <c r="I914" s="1">
        <v>1</v>
      </c>
      <c r="J914"/>
      <c r="K914"/>
      <c r="L914"/>
    </row>
    <row r="915" spans="1:12" x14ac:dyDescent="0.3">
      <c r="A915" s="1">
        <v>5914</v>
      </c>
      <c r="B915" s="3" t="s">
        <v>873</v>
      </c>
      <c r="C915" s="3" t="s">
        <v>70</v>
      </c>
      <c r="D915" s="3" t="s">
        <v>49</v>
      </c>
      <c r="E915" s="1">
        <v>126929</v>
      </c>
      <c r="F915" s="2" t="s">
        <v>814</v>
      </c>
      <c r="G915" s="3" t="s">
        <v>13</v>
      </c>
      <c r="H915" s="1">
        <v>32</v>
      </c>
      <c r="I915" s="1">
        <v>3</v>
      </c>
      <c r="J915"/>
      <c r="K915"/>
      <c r="L915"/>
    </row>
    <row r="916" spans="1:12" x14ac:dyDescent="0.3">
      <c r="A916" s="1">
        <v>5915</v>
      </c>
      <c r="B916" s="3" t="s">
        <v>187</v>
      </c>
      <c r="C916" s="3" t="s">
        <v>39</v>
      </c>
      <c r="D916" s="3" t="s">
        <v>30</v>
      </c>
      <c r="E916" s="1">
        <v>86912</v>
      </c>
      <c r="F916" s="2" t="s">
        <v>339</v>
      </c>
      <c r="G916" s="3" t="s">
        <v>24</v>
      </c>
      <c r="H916" s="1">
        <v>36</v>
      </c>
      <c r="I916" s="1">
        <v>5</v>
      </c>
      <c r="J916"/>
      <c r="K916"/>
      <c r="L916"/>
    </row>
    <row r="917" spans="1:12" x14ac:dyDescent="0.3">
      <c r="A917" s="1">
        <v>5916</v>
      </c>
      <c r="B917" s="3" t="s">
        <v>1440</v>
      </c>
      <c r="C917" s="3" t="s">
        <v>63</v>
      </c>
      <c r="D917" s="3" t="s">
        <v>36</v>
      </c>
      <c r="E917" s="1">
        <v>88706</v>
      </c>
      <c r="F917" s="2" t="s">
        <v>945</v>
      </c>
      <c r="G917" s="3" t="s">
        <v>24</v>
      </c>
      <c r="H917" s="1">
        <v>33</v>
      </c>
      <c r="I917" s="1">
        <v>3</v>
      </c>
      <c r="J917"/>
      <c r="K917"/>
      <c r="L917"/>
    </row>
    <row r="918" spans="1:12" x14ac:dyDescent="0.3">
      <c r="A918" s="1">
        <v>5917</v>
      </c>
      <c r="B918" s="3" t="s">
        <v>922</v>
      </c>
      <c r="C918" s="3" t="s">
        <v>70</v>
      </c>
      <c r="D918" s="3" t="s">
        <v>49</v>
      </c>
      <c r="E918" s="1">
        <v>54032</v>
      </c>
      <c r="F918" s="2" t="s">
        <v>879</v>
      </c>
      <c r="G918" s="3" t="s">
        <v>13</v>
      </c>
      <c r="H918" s="1">
        <v>35</v>
      </c>
      <c r="I918" s="1">
        <v>2</v>
      </c>
      <c r="J918"/>
      <c r="K918"/>
      <c r="L918"/>
    </row>
    <row r="919" spans="1:12" x14ac:dyDescent="0.3">
      <c r="A919" s="1">
        <v>5918</v>
      </c>
      <c r="B919" s="3" t="s">
        <v>1041</v>
      </c>
      <c r="C919" s="3" t="s">
        <v>70</v>
      </c>
      <c r="D919" s="3" t="s">
        <v>61</v>
      </c>
      <c r="E919" s="1">
        <v>123626</v>
      </c>
      <c r="F919" s="2" t="s">
        <v>584</v>
      </c>
      <c r="G919" s="3" t="s">
        <v>24</v>
      </c>
      <c r="H919" s="1">
        <v>53</v>
      </c>
      <c r="I919" s="1">
        <v>2</v>
      </c>
      <c r="J919"/>
      <c r="K919"/>
      <c r="L919"/>
    </row>
    <row r="920" spans="1:12" x14ac:dyDescent="0.3">
      <c r="A920" s="1">
        <v>5919</v>
      </c>
      <c r="B920" s="3" t="s">
        <v>1441</v>
      </c>
      <c r="C920" s="3" t="s">
        <v>39</v>
      </c>
      <c r="D920" s="3" t="s">
        <v>36</v>
      </c>
      <c r="E920" s="1">
        <v>64377</v>
      </c>
      <c r="F920" s="2" t="s">
        <v>1168</v>
      </c>
      <c r="G920" s="3" t="s">
        <v>13</v>
      </c>
      <c r="H920" s="1">
        <v>31</v>
      </c>
      <c r="I920" s="1">
        <v>2</v>
      </c>
      <c r="J920"/>
      <c r="K920"/>
      <c r="L920"/>
    </row>
    <row r="921" spans="1:12" x14ac:dyDescent="0.3">
      <c r="A921" s="1">
        <v>5920</v>
      </c>
      <c r="B921" s="3" t="s">
        <v>1442</v>
      </c>
      <c r="C921" s="3" t="s">
        <v>79</v>
      </c>
      <c r="D921" s="3" t="s">
        <v>87</v>
      </c>
      <c r="E921" s="1">
        <v>35222</v>
      </c>
      <c r="F921" s="2" t="s">
        <v>1443</v>
      </c>
      <c r="G921" s="3" t="s">
        <v>13</v>
      </c>
      <c r="H921" s="1">
        <v>52</v>
      </c>
      <c r="I921" s="1">
        <v>2</v>
      </c>
      <c r="J921"/>
      <c r="K921"/>
      <c r="L921"/>
    </row>
    <row r="922" spans="1:12" x14ac:dyDescent="0.3">
      <c r="A922" s="1">
        <v>5921</v>
      </c>
      <c r="B922" s="3" t="s">
        <v>1444</v>
      </c>
      <c r="C922" s="3" t="s">
        <v>70</v>
      </c>
      <c r="D922" s="3" t="s">
        <v>61</v>
      </c>
      <c r="E922" s="1">
        <v>28749</v>
      </c>
      <c r="F922" s="2" t="s">
        <v>1445</v>
      </c>
      <c r="G922" s="3" t="s">
        <v>13</v>
      </c>
      <c r="H922" s="1">
        <v>26</v>
      </c>
      <c r="I922" s="1">
        <v>4</v>
      </c>
      <c r="J922"/>
      <c r="K922"/>
      <c r="L922"/>
    </row>
    <row r="923" spans="1:12" x14ac:dyDescent="0.3">
      <c r="A923" s="1">
        <v>5922</v>
      </c>
      <c r="B923" s="3" t="s">
        <v>1446</v>
      </c>
      <c r="C923" s="3" t="s">
        <v>35</v>
      </c>
      <c r="D923" s="3" t="s">
        <v>11</v>
      </c>
      <c r="E923" s="1">
        <v>31330</v>
      </c>
      <c r="F923" s="2" t="s">
        <v>1447</v>
      </c>
      <c r="G923" s="3" t="s">
        <v>13</v>
      </c>
      <c r="H923" s="1">
        <v>32</v>
      </c>
      <c r="I923" s="1">
        <v>2</v>
      </c>
      <c r="J923"/>
      <c r="K923"/>
      <c r="L923"/>
    </row>
    <row r="924" spans="1:12" x14ac:dyDescent="0.3">
      <c r="A924" s="1">
        <v>5923</v>
      </c>
      <c r="B924" s="3" t="s">
        <v>1448</v>
      </c>
      <c r="C924" s="3" t="s">
        <v>79</v>
      </c>
      <c r="D924" s="3" t="s">
        <v>36</v>
      </c>
      <c r="E924" s="1">
        <v>44740</v>
      </c>
      <c r="F924" s="2" t="s">
        <v>1449</v>
      </c>
      <c r="G924" s="3" t="s">
        <v>13</v>
      </c>
      <c r="H924" s="1">
        <v>44</v>
      </c>
      <c r="I924" s="1">
        <v>4</v>
      </c>
      <c r="J924"/>
      <c r="K924"/>
      <c r="L924"/>
    </row>
    <row r="925" spans="1:12" x14ac:dyDescent="0.3">
      <c r="A925" s="1">
        <v>5924</v>
      </c>
      <c r="B925" s="3" t="s">
        <v>218</v>
      </c>
      <c r="C925" s="3" t="s">
        <v>10</v>
      </c>
      <c r="D925" s="3" t="s">
        <v>20</v>
      </c>
      <c r="E925" s="1">
        <v>70625</v>
      </c>
      <c r="F925" s="2" t="s">
        <v>1317</v>
      </c>
      <c r="G925" s="3" t="s">
        <v>24</v>
      </c>
      <c r="H925" s="1">
        <v>23</v>
      </c>
      <c r="I925" s="1">
        <v>3</v>
      </c>
      <c r="J925"/>
      <c r="K925"/>
      <c r="L925"/>
    </row>
    <row r="926" spans="1:12" x14ac:dyDescent="0.3">
      <c r="A926" s="1">
        <v>5925</v>
      </c>
      <c r="B926" s="3" t="s">
        <v>1156</v>
      </c>
      <c r="C926" s="3" t="s">
        <v>63</v>
      </c>
      <c r="D926" s="3" t="s">
        <v>52</v>
      </c>
      <c r="E926" s="1">
        <v>131723</v>
      </c>
      <c r="F926" s="2" t="s">
        <v>1450</v>
      </c>
      <c r="G926" s="3" t="s">
        <v>13</v>
      </c>
      <c r="H926" s="1">
        <v>39</v>
      </c>
      <c r="I926" s="1">
        <v>2</v>
      </c>
      <c r="J926"/>
      <c r="K926"/>
      <c r="L926"/>
    </row>
    <row r="927" spans="1:12" x14ac:dyDescent="0.3">
      <c r="A927" s="1">
        <v>5926</v>
      </c>
      <c r="B927" s="3" t="s">
        <v>459</v>
      </c>
      <c r="C927" s="3" t="s">
        <v>19</v>
      </c>
      <c r="D927" s="3" t="s">
        <v>27</v>
      </c>
      <c r="E927" s="1">
        <v>149013</v>
      </c>
      <c r="F927" s="2" t="s">
        <v>1201</v>
      </c>
      <c r="G927" s="3" t="s">
        <v>24</v>
      </c>
      <c r="H927" s="1">
        <v>25</v>
      </c>
      <c r="I927" s="1">
        <v>3</v>
      </c>
      <c r="J927"/>
      <c r="K927"/>
      <c r="L927"/>
    </row>
    <row r="928" spans="1:12" x14ac:dyDescent="0.3">
      <c r="A928" s="1">
        <v>5927</v>
      </c>
      <c r="B928" s="3" t="s">
        <v>1451</v>
      </c>
      <c r="C928" s="3" t="s">
        <v>70</v>
      </c>
      <c r="D928" s="3" t="s">
        <v>61</v>
      </c>
      <c r="E928" s="1">
        <v>103322</v>
      </c>
      <c r="F928" s="2" t="s">
        <v>1452</v>
      </c>
      <c r="G928" s="3" t="s">
        <v>13</v>
      </c>
      <c r="H928" s="1">
        <v>27</v>
      </c>
      <c r="I928" s="1">
        <v>5</v>
      </c>
      <c r="J928"/>
      <c r="K928"/>
      <c r="L928"/>
    </row>
    <row r="929" spans="1:12" x14ac:dyDescent="0.3">
      <c r="A929" s="1">
        <v>5928</v>
      </c>
      <c r="B929" s="3" t="s">
        <v>744</v>
      </c>
      <c r="C929" s="3" t="s">
        <v>26</v>
      </c>
      <c r="D929" s="3" t="s">
        <v>36</v>
      </c>
      <c r="E929" s="1">
        <v>59180</v>
      </c>
      <c r="F929" s="2" t="s">
        <v>1453</v>
      </c>
      <c r="G929" s="3" t="s">
        <v>13</v>
      </c>
      <c r="H929" s="1">
        <v>33</v>
      </c>
      <c r="I929" s="1">
        <v>5</v>
      </c>
      <c r="J929"/>
      <c r="K929"/>
      <c r="L929"/>
    </row>
    <row r="930" spans="1:12" x14ac:dyDescent="0.3">
      <c r="A930" s="1">
        <v>5929</v>
      </c>
      <c r="B930" s="3" t="s">
        <v>1454</v>
      </c>
      <c r="C930" s="3" t="s">
        <v>79</v>
      </c>
      <c r="D930" s="3" t="s">
        <v>49</v>
      </c>
      <c r="E930" s="1">
        <v>130254</v>
      </c>
      <c r="F930" s="2" t="s">
        <v>954</v>
      </c>
      <c r="G930" s="3" t="s">
        <v>1534</v>
      </c>
      <c r="H930" s="1">
        <v>26</v>
      </c>
      <c r="I930" s="1">
        <v>5</v>
      </c>
      <c r="J930"/>
      <c r="K930"/>
      <c r="L930"/>
    </row>
    <row r="931" spans="1:12" x14ac:dyDescent="0.3">
      <c r="A931" s="1">
        <v>5930</v>
      </c>
      <c r="B931" s="3" t="s">
        <v>1455</v>
      </c>
      <c r="C931" s="3" t="s">
        <v>35</v>
      </c>
      <c r="D931" s="3" t="s">
        <v>30</v>
      </c>
      <c r="E931" s="1">
        <v>120662</v>
      </c>
      <c r="F931" s="2" t="s">
        <v>1456</v>
      </c>
      <c r="G931" s="3" t="s">
        <v>13</v>
      </c>
      <c r="H931" s="1">
        <v>40</v>
      </c>
      <c r="I931" s="1">
        <v>1</v>
      </c>
      <c r="J931"/>
      <c r="K931"/>
      <c r="L931"/>
    </row>
    <row r="932" spans="1:12" x14ac:dyDescent="0.3">
      <c r="A932" s="1">
        <v>5931</v>
      </c>
      <c r="B932" s="3" t="s">
        <v>1593</v>
      </c>
      <c r="C932" s="3" t="s">
        <v>19</v>
      </c>
      <c r="D932" s="3" t="s">
        <v>61</v>
      </c>
      <c r="E932" s="1">
        <v>112854</v>
      </c>
      <c r="F932" s="2" t="s">
        <v>1031</v>
      </c>
      <c r="G932" s="3" t="s">
        <v>13</v>
      </c>
      <c r="H932" s="1">
        <v>55</v>
      </c>
      <c r="I932" s="1">
        <v>2</v>
      </c>
      <c r="J932"/>
      <c r="K932"/>
      <c r="L932"/>
    </row>
    <row r="933" spans="1:12" x14ac:dyDescent="0.3">
      <c r="A933" s="1">
        <v>5932</v>
      </c>
      <c r="B933" s="3" t="s">
        <v>628</v>
      </c>
      <c r="C933" s="3" t="s">
        <v>15</v>
      </c>
      <c r="D933" s="3" t="s">
        <v>61</v>
      </c>
      <c r="E933" s="1">
        <v>148474</v>
      </c>
      <c r="F933" s="2" t="s">
        <v>1457</v>
      </c>
      <c r="G933" s="3" t="s">
        <v>13</v>
      </c>
      <c r="H933" s="1">
        <v>27</v>
      </c>
      <c r="I933" s="1">
        <v>2</v>
      </c>
      <c r="J933"/>
      <c r="K933"/>
      <c r="L933"/>
    </row>
    <row r="934" spans="1:12" x14ac:dyDescent="0.3">
      <c r="A934" s="1">
        <v>5933</v>
      </c>
      <c r="B934" s="3" t="s">
        <v>1594</v>
      </c>
      <c r="C934" s="3" t="s">
        <v>70</v>
      </c>
      <c r="D934" s="3" t="s">
        <v>20</v>
      </c>
      <c r="E934" s="1">
        <v>34559</v>
      </c>
      <c r="F934" s="2" t="s">
        <v>1458</v>
      </c>
      <c r="G934" s="3" t="s">
        <v>13</v>
      </c>
      <c r="H934" s="1">
        <v>53</v>
      </c>
      <c r="I934" s="1">
        <v>5</v>
      </c>
      <c r="J934"/>
      <c r="K934"/>
      <c r="L934"/>
    </row>
    <row r="935" spans="1:12" x14ac:dyDescent="0.3">
      <c r="A935" s="1">
        <v>5934</v>
      </c>
      <c r="B935" s="3" t="s">
        <v>1459</v>
      </c>
      <c r="C935" s="3" t="s">
        <v>70</v>
      </c>
      <c r="D935" s="3" t="s">
        <v>36</v>
      </c>
      <c r="E935" s="1">
        <v>74323</v>
      </c>
      <c r="F935" s="2" t="s">
        <v>1460</v>
      </c>
      <c r="G935" s="3" t="s">
        <v>13</v>
      </c>
      <c r="H935" s="1">
        <v>50</v>
      </c>
      <c r="I935" s="1">
        <v>2</v>
      </c>
      <c r="J935"/>
      <c r="K935"/>
      <c r="L935"/>
    </row>
    <row r="936" spans="1:12" x14ac:dyDescent="0.3">
      <c r="A936" s="1">
        <v>5935</v>
      </c>
      <c r="B936" s="3" t="s">
        <v>392</v>
      </c>
      <c r="C936" s="3" t="s">
        <v>44</v>
      </c>
      <c r="D936" s="3" t="s">
        <v>16</v>
      </c>
      <c r="E936" s="1">
        <v>89400</v>
      </c>
      <c r="F936" s="2" t="s">
        <v>1461</v>
      </c>
      <c r="G936" s="3" t="s">
        <v>24</v>
      </c>
      <c r="H936" s="1">
        <v>44</v>
      </c>
      <c r="I936" s="1">
        <v>3</v>
      </c>
      <c r="J936"/>
      <c r="K936"/>
      <c r="L936"/>
    </row>
    <row r="937" spans="1:12" x14ac:dyDescent="0.3">
      <c r="A937" s="1">
        <v>5936</v>
      </c>
      <c r="B937" s="3" t="s">
        <v>1462</v>
      </c>
      <c r="C937" s="3" t="s">
        <v>19</v>
      </c>
      <c r="D937" s="3" t="s">
        <v>36</v>
      </c>
      <c r="E937" s="1">
        <v>107583</v>
      </c>
      <c r="F937" s="2" t="s">
        <v>825</v>
      </c>
      <c r="G937" s="3" t="s">
        <v>13</v>
      </c>
      <c r="H937" s="1">
        <v>39</v>
      </c>
      <c r="I937" s="1">
        <v>3</v>
      </c>
      <c r="J937"/>
      <c r="K937"/>
      <c r="L937"/>
    </row>
    <row r="938" spans="1:12" x14ac:dyDescent="0.3">
      <c r="A938" s="1">
        <v>5937</v>
      </c>
      <c r="B938" s="3" t="s">
        <v>1002</v>
      </c>
      <c r="C938" s="3" t="s">
        <v>44</v>
      </c>
      <c r="D938" s="3" t="s">
        <v>16</v>
      </c>
      <c r="E938" s="1">
        <v>54424</v>
      </c>
      <c r="F938" s="2" t="s">
        <v>1463</v>
      </c>
      <c r="G938" s="3" t="s">
        <v>13</v>
      </c>
      <c r="H938" s="1">
        <v>37</v>
      </c>
      <c r="I938" s="1">
        <v>4</v>
      </c>
      <c r="J938"/>
      <c r="K938"/>
      <c r="L938"/>
    </row>
    <row r="939" spans="1:12" x14ac:dyDescent="0.3">
      <c r="A939" s="1">
        <v>5938</v>
      </c>
      <c r="B939" s="3" t="s">
        <v>407</v>
      </c>
      <c r="C939" s="3" t="s">
        <v>63</v>
      </c>
      <c r="D939" s="3" t="s">
        <v>16</v>
      </c>
      <c r="E939" s="1">
        <v>40955</v>
      </c>
      <c r="F939" s="2" t="s">
        <v>160</v>
      </c>
      <c r="G939" s="3" t="s">
        <v>13</v>
      </c>
      <c r="H939" s="1">
        <v>24</v>
      </c>
      <c r="I939" s="1">
        <v>3</v>
      </c>
      <c r="J939"/>
      <c r="K939"/>
      <c r="L939"/>
    </row>
    <row r="940" spans="1:12" x14ac:dyDescent="0.3">
      <c r="A940" s="1">
        <v>5939</v>
      </c>
      <c r="B940" s="3" t="s">
        <v>1054</v>
      </c>
      <c r="C940" s="3" t="s">
        <v>15</v>
      </c>
      <c r="D940" s="3" t="s">
        <v>27</v>
      </c>
      <c r="E940" s="1">
        <v>93839</v>
      </c>
      <c r="F940" s="2" t="s">
        <v>1017</v>
      </c>
      <c r="G940" s="3" t="s">
        <v>13</v>
      </c>
      <c r="H940" s="1">
        <v>53</v>
      </c>
      <c r="I940" s="1">
        <v>1</v>
      </c>
      <c r="J940"/>
      <c r="K940"/>
      <c r="L940"/>
    </row>
    <row r="941" spans="1:12" x14ac:dyDescent="0.3">
      <c r="A941" s="1">
        <v>5940</v>
      </c>
      <c r="B941" s="3" t="s">
        <v>1595</v>
      </c>
      <c r="C941" s="3" t="s">
        <v>35</v>
      </c>
      <c r="D941" s="3" t="s">
        <v>61</v>
      </c>
      <c r="E941" s="1">
        <v>110168</v>
      </c>
      <c r="F941" s="2" t="s">
        <v>1464</v>
      </c>
      <c r="G941" s="3" t="s">
        <v>24</v>
      </c>
      <c r="H941" s="1">
        <v>54</v>
      </c>
      <c r="I941" s="1">
        <v>2</v>
      </c>
      <c r="J941"/>
      <c r="K941"/>
      <c r="L941"/>
    </row>
    <row r="942" spans="1:12" x14ac:dyDescent="0.3">
      <c r="A942" s="1">
        <v>5941</v>
      </c>
      <c r="B942" s="3" t="s">
        <v>875</v>
      </c>
      <c r="C942" s="3" t="s">
        <v>26</v>
      </c>
      <c r="D942" s="3" t="s">
        <v>20</v>
      </c>
      <c r="E942" s="1">
        <v>55898</v>
      </c>
      <c r="F942" s="2" t="s">
        <v>986</v>
      </c>
      <c r="G942" s="3" t="s">
        <v>13</v>
      </c>
      <c r="H942" s="1">
        <v>40</v>
      </c>
      <c r="I942" s="1">
        <v>3</v>
      </c>
      <c r="J942"/>
      <c r="K942"/>
      <c r="L942"/>
    </row>
    <row r="943" spans="1:12" x14ac:dyDescent="0.3">
      <c r="A943" s="1">
        <v>5942</v>
      </c>
      <c r="B943" s="3" t="s">
        <v>172</v>
      </c>
      <c r="C943" s="3" t="s">
        <v>15</v>
      </c>
      <c r="D943" s="3" t="s">
        <v>30</v>
      </c>
      <c r="E943" s="1">
        <v>87174</v>
      </c>
      <c r="F943" s="2" t="s">
        <v>245</v>
      </c>
      <c r="G943" s="3" t="s">
        <v>24</v>
      </c>
      <c r="H943" s="1">
        <v>43</v>
      </c>
      <c r="I943" s="1">
        <v>1</v>
      </c>
      <c r="J943"/>
      <c r="K943"/>
      <c r="L943"/>
    </row>
    <row r="944" spans="1:12" x14ac:dyDescent="0.3">
      <c r="A944" s="1">
        <v>5943</v>
      </c>
      <c r="B944" s="3" t="s">
        <v>853</v>
      </c>
      <c r="C944" s="3" t="s">
        <v>35</v>
      </c>
      <c r="D944" s="3" t="s">
        <v>20</v>
      </c>
      <c r="E944" s="1">
        <v>29006</v>
      </c>
      <c r="F944" s="2" t="s">
        <v>1465</v>
      </c>
      <c r="G944" s="3" t="s">
        <v>13</v>
      </c>
      <c r="H944" s="1">
        <v>28</v>
      </c>
      <c r="I944" s="1">
        <v>5</v>
      </c>
      <c r="J944"/>
      <c r="K944"/>
      <c r="L944"/>
    </row>
    <row r="945" spans="1:12" x14ac:dyDescent="0.3">
      <c r="A945" s="1">
        <v>5944</v>
      </c>
      <c r="B945" s="3" t="s">
        <v>1466</v>
      </c>
      <c r="C945" s="3" t="s">
        <v>44</v>
      </c>
      <c r="D945" s="3" t="s">
        <v>16</v>
      </c>
      <c r="E945" s="1">
        <v>48278</v>
      </c>
      <c r="F945" s="2" t="s">
        <v>940</v>
      </c>
      <c r="G945" s="3" t="s">
        <v>13</v>
      </c>
      <c r="H945" s="1">
        <v>52</v>
      </c>
      <c r="I945" s="1">
        <v>5</v>
      </c>
      <c r="J945"/>
      <c r="K945"/>
      <c r="L945"/>
    </row>
    <row r="946" spans="1:12" x14ac:dyDescent="0.3">
      <c r="A946" s="1">
        <v>5945</v>
      </c>
      <c r="B946" s="3" t="s">
        <v>1596</v>
      </c>
      <c r="C946" s="3" t="s">
        <v>39</v>
      </c>
      <c r="D946" s="3" t="s">
        <v>49</v>
      </c>
      <c r="E946" s="1">
        <v>138635</v>
      </c>
      <c r="F946" s="2" t="s">
        <v>1467</v>
      </c>
      <c r="G946" s="3" t="s">
        <v>24</v>
      </c>
      <c r="H946" s="1">
        <v>41</v>
      </c>
      <c r="I946" s="1">
        <v>3</v>
      </c>
      <c r="J946"/>
      <c r="K946"/>
      <c r="L946"/>
    </row>
    <row r="947" spans="1:12" x14ac:dyDescent="0.3">
      <c r="A947" s="1">
        <v>5946</v>
      </c>
      <c r="B947" s="3" t="s">
        <v>822</v>
      </c>
      <c r="C947" s="3" t="s">
        <v>63</v>
      </c>
      <c r="D947" s="3" t="s">
        <v>49</v>
      </c>
      <c r="E947" s="1">
        <v>131042</v>
      </c>
      <c r="F947" s="2" t="s">
        <v>1468</v>
      </c>
      <c r="G947" s="3" t="s">
        <v>13</v>
      </c>
      <c r="H947" s="1">
        <v>54</v>
      </c>
      <c r="I947" s="1">
        <v>2</v>
      </c>
      <c r="J947"/>
      <c r="K947"/>
      <c r="L947"/>
    </row>
    <row r="948" spans="1:12" x14ac:dyDescent="0.3">
      <c r="A948" s="1">
        <v>5947</v>
      </c>
      <c r="B948" s="3" t="s">
        <v>1469</v>
      </c>
      <c r="C948" s="3" t="s">
        <v>70</v>
      </c>
      <c r="D948" s="3" t="s">
        <v>87</v>
      </c>
      <c r="E948" s="1">
        <v>92192</v>
      </c>
      <c r="F948" s="2" t="s">
        <v>1470</v>
      </c>
      <c r="G948" s="3" t="s">
        <v>13</v>
      </c>
      <c r="H948" s="1">
        <v>45</v>
      </c>
      <c r="I948" s="1">
        <v>5</v>
      </c>
      <c r="J948"/>
      <c r="K948"/>
      <c r="L948"/>
    </row>
    <row r="949" spans="1:12" x14ac:dyDescent="0.3">
      <c r="A949" s="1">
        <v>5948</v>
      </c>
      <c r="B949" s="3" t="s">
        <v>358</v>
      </c>
      <c r="C949" s="3" t="s">
        <v>44</v>
      </c>
      <c r="D949" s="3" t="s">
        <v>20</v>
      </c>
      <c r="E949" s="1">
        <v>137765</v>
      </c>
      <c r="F949" s="2" t="s">
        <v>1471</v>
      </c>
      <c r="G949" s="3" t="s">
        <v>13</v>
      </c>
      <c r="H949" s="1">
        <v>50</v>
      </c>
      <c r="I949" s="1">
        <v>5</v>
      </c>
      <c r="J949"/>
      <c r="K949"/>
      <c r="L949"/>
    </row>
    <row r="950" spans="1:12" x14ac:dyDescent="0.3">
      <c r="A950" s="1">
        <v>5949</v>
      </c>
      <c r="B950" s="3" t="s">
        <v>1559</v>
      </c>
      <c r="C950" s="3" t="s">
        <v>70</v>
      </c>
      <c r="D950" s="3" t="s">
        <v>20</v>
      </c>
      <c r="E950" s="1">
        <v>60673</v>
      </c>
      <c r="F950" s="2" t="s">
        <v>1472</v>
      </c>
      <c r="G950" s="3" t="s">
        <v>24</v>
      </c>
      <c r="H950" s="1">
        <v>34</v>
      </c>
      <c r="I950" s="1">
        <v>1</v>
      </c>
      <c r="J950"/>
      <c r="K950"/>
      <c r="L950"/>
    </row>
    <row r="951" spans="1:12" x14ac:dyDescent="0.3">
      <c r="A951" s="1">
        <v>5950</v>
      </c>
      <c r="B951" s="3" t="s">
        <v>744</v>
      </c>
      <c r="C951" s="3" t="s">
        <v>39</v>
      </c>
      <c r="D951" s="3" t="s">
        <v>11</v>
      </c>
      <c r="E951" s="1">
        <v>111170</v>
      </c>
      <c r="F951" s="2" t="s">
        <v>1473</v>
      </c>
      <c r="G951" s="3" t="s">
        <v>13</v>
      </c>
      <c r="H951" s="1">
        <v>28</v>
      </c>
      <c r="I951" s="1">
        <v>5</v>
      </c>
      <c r="J951"/>
      <c r="K951"/>
      <c r="L951"/>
    </row>
    <row r="952" spans="1:12" x14ac:dyDescent="0.3">
      <c r="A952" s="1">
        <v>5951</v>
      </c>
      <c r="B952" s="3" t="s">
        <v>1474</v>
      </c>
      <c r="C952" s="3" t="s">
        <v>15</v>
      </c>
      <c r="D952" s="3" t="s">
        <v>87</v>
      </c>
      <c r="E952" s="1">
        <v>73752</v>
      </c>
      <c r="F952" s="2" t="s">
        <v>1255</v>
      </c>
      <c r="G952" s="3" t="s">
        <v>13</v>
      </c>
      <c r="H952" s="1">
        <v>30</v>
      </c>
      <c r="I952" s="1">
        <v>2</v>
      </c>
      <c r="J952"/>
      <c r="K952"/>
      <c r="L952"/>
    </row>
    <row r="953" spans="1:12" x14ac:dyDescent="0.3">
      <c r="A953" s="1">
        <v>5952</v>
      </c>
      <c r="B953" s="3" t="s">
        <v>526</v>
      </c>
      <c r="C953" s="3" t="s">
        <v>63</v>
      </c>
      <c r="D953" s="3" t="s">
        <v>27</v>
      </c>
      <c r="E953" s="1">
        <v>83614</v>
      </c>
      <c r="F953" s="2" t="s">
        <v>1475</v>
      </c>
      <c r="G953" s="3" t="s">
        <v>24</v>
      </c>
      <c r="H953" s="1">
        <v>39</v>
      </c>
      <c r="I953" s="1">
        <v>4</v>
      </c>
      <c r="J953"/>
      <c r="K953"/>
      <c r="L953"/>
    </row>
    <row r="954" spans="1:12" x14ac:dyDescent="0.3">
      <c r="A954" s="1">
        <v>5953</v>
      </c>
      <c r="B954" s="3" t="s">
        <v>697</v>
      </c>
      <c r="C954" s="3" t="s">
        <v>10</v>
      </c>
      <c r="D954" s="3" t="s">
        <v>61</v>
      </c>
      <c r="E954" s="1">
        <v>87520</v>
      </c>
      <c r="F954" s="2" t="s">
        <v>1476</v>
      </c>
      <c r="G954" s="3" t="s">
        <v>24</v>
      </c>
      <c r="H954" s="1">
        <v>33</v>
      </c>
      <c r="I954" s="1">
        <v>3</v>
      </c>
      <c r="J954"/>
      <c r="K954"/>
      <c r="L954"/>
    </row>
    <row r="955" spans="1:12" x14ac:dyDescent="0.3">
      <c r="A955" s="1">
        <v>5954</v>
      </c>
      <c r="B955" s="3" t="s">
        <v>282</v>
      </c>
      <c r="C955" s="3" t="s">
        <v>79</v>
      </c>
      <c r="D955" s="3" t="s">
        <v>16</v>
      </c>
      <c r="E955" s="1">
        <v>66183</v>
      </c>
      <c r="F955" s="2" t="s">
        <v>1188</v>
      </c>
      <c r="G955" s="3" t="s">
        <v>13</v>
      </c>
      <c r="H955" s="1">
        <v>41</v>
      </c>
      <c r="I955" s="1">
        <v>3</v>
      </c>
      <c r="J955"/>
      <c r="K955"/>
      <c r="L955"/>
    </row>
    <row r="956" spans="1:12" x14ac:dyDescent="0.3">
      <c r="A956" s="1">
        <v>5955</v>
      </c>
      <c r="B956" s="3" t="s">
        <v>1477</v>
      </c>
      <c r="C956" s="3" t="s">
        <v>26</v>
      </c>
      <c r="D956" s="3" t="s">
        <v>36</v>
      </c>
      <c r="E956" s="1">
        <v>97815</v>
      </c>
      <c r="F956" s="2" t="s">
        <v>1298</v>
      </c>
      <c r="G956" s="3" t="s">
        <v>24</v>
      </c>
      <c r="H956" s="1">
        <v>38</v>
      </c>
      <c r="I956" s="1">
        <v>4</v>
      </c>
      <c r="J956"/>
      <c r="K956"/>
      <c r="L956"/>
    </row>
    <row r="957" spans="1:12" x14ac:dyDescent="0.3">
      <c r="A957" s="1">
        <v>5956</v>
      </c>
      <c r="B957" s="3" t="s">
        <v>100</v>
      </c>
      <c r="C957" s="3" t="s">
        <v>79</v>
      </c>
      <c r="D957" s="3" t="s">
        <v>61</v>
      </c>
      <c r="E957" s="1">
        <v>54708</v>
      </c>
      <c r="F957" s="2" t="s">
        <v>1478</v>
      </c>
      <c r="G957" s="3" t="s">
        <v>24</v>
      </c>
      <c r="H957" s="1">
        <v>54</v>
      </c>
      <c r="I957" s="1">
        <v>4</v>
      </c>
      <c r="J957"/>
      <c r="K957"/>
      <c r="L957"/>
    </row>
    <row r="958" spans="1:12" x14ac:dyDescent="0.3">
      <c r="A958" s="1">
        <v>5957</v>
      </c>
      <c r="B958" s="3" t="s">
        <v>1479</v>
      </c>
      <c r="C958" s="3" t="s">
        <v>44</v>
      </c>
      <c r="D958" s="3" t="s">
        <v>36</v>
      </c>
      <c r="E958" s="1">
        <v>130172</v>
      </c>
      <c r="F958" s="2" t="s">
        <v>1480</v>
      </c>
      <c r="G958" s="3" t="s">
        <v>24</v>
      </c>
      <c r="H958" s="1">
        <v>22</v>
      </c>
      <c r="I958" s="1">
        <v>1</v>
      </c>
      <c r="J958"/>
      <c r="K958"/>
      <c r="L958"/>
    </row>
    <row r="959" spans="1:12" x14ac:dyDescent="0.3">
      <c r="A959" s="1">
        <v>5958</v>
      </c>
      <c r="B959" s="3" t="s">
        <v>739</v>
      </c>
      <c r="C959" s="3" t="s">
        <v>39</v>
      </c>
      <c r="D959" s="3" t="s">
        <v>87</v>
      </c>
      <c r="E959" s="1">
        <v>56673</v>
      </c>
      <c r="F959" s="2" t="s">
        <v>1481</v>
      </c>
      <c r="G959" s="3" t="s">
        <v>24</v>
      </c>
      <c r="H959" s="1">
        <v>54</v>
      </c>
      <c r="I959" s="1">
        <v>5</v>
      </c>
      <c r="J959"/>
      <c r="K959"/>
      <c r="L959"/>
    </row>
    <row r="960" spans="1:12" x14ac:dyDescent="0.3">
      <c r="A960" s="1">
        <v>5959</v>
      </c>
      <c r="B960" s="3" t="s">
        <v>1482</v>
      </c>
      <c r="C960" s="3" t="s">
        <v>39</v>
      </c>
      <c r="D960" s="3" t="s">
        <v>16</v>
      </c>
      <c r="E960" s="1">
        <v>119285</v>
      </c>
      <c r="F960" s="2" t="s">
        <v>1483</v>
      </c>
      <c r="G960" s="3" t="s">
        <v>24</v>
      </c>
      <c r="H960" s="1">
        <v>22</v>
      </c>
      <c r="I960" s="1">
        <v>2</v>
      </c>
      <c r="J960"/>
      <c r="K960"/>
      <c r="L960"/>
    </row>
    <row r="961" spans="1:12" x14ac:dyDescent="0.3">
      <c r="A961" s="1">
        <v>5960</v>
      </c>
      <c r="B961" s="3" t="s">
        <v>18</v>
      </c>
      <c r="C961" s="3" t="s">
        <v>79</v>
      </c>
      <c r="D961" s="3" t="s">
        <v>87</v>
      </c>
      <c r="E961" s="1">
        <v>123557</v>
      </c>
      <c r="F961" s="2" t="s">
        <v>309</v>
      </c>
      <c r="G961" s="3" t="s">
        <v>13</v>
      </c>
      <c r="H961" s="1">
        <v>53</v>
      </c>
      <c r="I961" s="1">
        <v>2</v>
      </c>
      <c r="J961"/>
      <c r="K961"/>
      <c r="L961"/>
    </row>
    <row r="962" spans="1:12" x14ac:dyDescent="0.3">
      <c r="A962" s="1">
        <v>5961</v>
      </c>
      <c r="B962" s="3" t="s">
        <v>599</v>
      </c>
      <c r="C962" s="3" t="s">
        <v>70</v>
      </c>
      <c r="D962" s="3" t="s">
        <v>52</v>
      </c>
      <c r="E962" s="1">
        <v>30589</v>
      </c>
      <c r="F962" s="2" t="s">
        <v>1484</v>
      </c>
      <c r="G962" s="3" t="s">
        <v>24</v>
      </c>
      <c r="H962" s="1">
        <v>55</v>
      </c>
      <c r="I962" s="1">
        <v>1</v>
      </c>
      <c r="J962"/>
      <c r="K962"/>
      <c r="L962"/>
    </row>
    <row r="963" spans="1:12" x14ac:dyDescent="0.3">
      <c r="A963" s="1">
        <v>5962</v>
      </c>
      <c r="B963" s="3" t="s">
        <v>1485</v>
      </c>
      <c r="C963" s="3" t="s">
        <v>10</v>
      </c>
      <c r="D963" s="3" t="s">
        <v>36</v>
      </c>
      <c r="E963" s="1">
        <v>36779</v>
      </c>
      <c r="F963" s="2" t="s">
        <v>1486</v>
      </c>
      <c r="G963" s="3" t="s">
        <v>24</v>
      </c>
      <c r="H963" s="1">
        <v>34</v>
      </c>
      <c r="I963" s="1">
        <v>1</v>
      </c>
      <c r="J963"/>
      <c r="K963"/>
      <c r="L963"/>
    </row>
    <row r="964" spans="1:12" x14ac:dyDescent="0.3">
      <c r="A964" s="1">
        <v>5963</v>
      </c>
      <c r="B964" s="3" t="s">
        <v>423</v>
      </c>
      <c r="C964" s="3" t="s">
        <v>19</v>
      </c>
      <c r="D964" s="3" t="s">
        <v>36</v>
      </c>
      <c r="E964" s="1">
        <v>34951</v>
      </c>
      <c r="F964" s="2" t="s">
        <v>1099</v>
      </c>
      <c r="G964" s="3" t="s">
        <v>24</v>
      </c>
      <c r="H964" s="1">
        <v>43</v>
      </c>
      <c r="I964" s="1">
        <v>2</v>
      </c>
      <c r="J964"/>
      <c r="K964"/>
      <c r="L964"/>
    </row>
    <row r="965" spans="1:12" x14ac:dyDescent="0.3">
      <c r="A965" s="1">
        <v>5964</v>
      </c>
      <c r="B965" s="3" t="s">
        <v>1487</v>
      </c>
      <c r="C965" s="3" t="s">
        <v>63</v>
      </c>
      <c r="D965" s="3" t="s">
        <v>36</v>
      </c>
      <c r="E965" s="1">
        <v>93427</v>
      </c>
      <c r="F965" s="2" t="s">
        <v>316</v>
      </c>
      <c r="G965" s="3" t="s">
        <v>24</v>
      </c>
      <c r="H965" s="1">
        <v>22</v>
      </c>
      <c r="I965" s="1">
        <v>1</v>
      </c>
      <c r="J965"/>
      <c r="K965"/>
      <c r="L965"/>
    </row>
    <row r="966" spans="1:12" x14ac:dyDescent="0.3">
      <c r="A966" s="1">
        <v>5965</v>
      </c>
      <c r="B966" s="3" t="s">
        <v>25</v>
      </c>
      <c r="C966" s="3" t="s">
        <v>63</v>
      </c>
      <c r="D966" s="3" t="s">
        <v>27</v>
      </c>
      <c r="E966" s="1">
        <v>57584</v>
      </c>
      <c r="F966" s="2" t="s">
        <v>1488</v>
      </c>
      <c r="G966" s="3" t="s">
        <v>13</v>
      </c>
      <c r="H966" s="1">
        <v>34</v>
      </c>
      <c r="I966" s="1">
        <v>1</v>
      </c>
      <c r="J966"/>
      <c r="K966"/>
      <c r="L966"/>
    </row>
    <row r="967" spans="1:12" x14ac:dyDescent="0.3">
      <c r="A967" s="1">
        <v>5966</v>
      </c>
      <c r="B967" s="3" t="s">
        <v>1489</v>
      </c>
      <c r="C967" s="3" t="s">
        <v>63</v>
      </c>
      <c r="D967" s="3" t="s">
        <v>87</v>
      </c>
      <c r="E967" s="1">
        <v>66451</v>
      </c>
      <c r="F967" s="2" t="s">
        <v>1490</v>
      </c>
      <c r="G967" s="3" t="s">
        <v>13</v>
      </c>
      <c r="H967" s="1">
        <v>28</v>
      </c>
      <c r="I967" s="1">
        <v>5</v>
      </c>
      <c r="J967"/>
      <c r="K967"/>
      <c r="L967"/>
    </row>
    <row r="968" spans="1:12" x14ac:dyDescent="0.3">
      <c r="A968" s="1">
        <v>5967</v>
      </c>
      <c r="B968" s="3" t="s">
        <v>1089</v>
      </c>
      <c r="C968" s="3" t="s">
        <v>79</v>
      </c>
      <c r="D968" s="3" t="s">
        <v>20</v>
      </c>
      <c r="E968" s="1">
        <v>61491</v>
      </c>
      <c r="F968" s="2" t="s">
        <v>1491</v>
      </c>
      <c r="G968" s="3" t="s">
        <v>13</v>
      </c>
      <c r="H968" s="1">
        <v>44</v>
      </c>
      <c r="I968" s="1">
        <v>3</v>
      </c>
      <c r="J968"/>
      <c r="K968"/>
      <c r="L968"/>
    </row>
    <row r="969" spans="1:12" x14ac:dyDescent="0.3">
      <c r="A969" s="1">
        <v>5968</v>
      </c>
      <c r="B969" s="3" t="s">
        <v>1492</v>
      </c>
      <c r="C969" s="3" t="s">
        <v>26</v>
      </c>
      <c r="D969" s="3" t="s">
        <v>16</v>
      </c>
      <c r="E969" s="1">
        <v>82326</v>
      </c>
      <c r="F969" s="2" t="s">
        <v>1493</v>
      </c>
      <c r="G969" s="3" t="s">
        <v>24</v>
      </c>
      <c r="H969" s="1">
        <v>45</v>
      </c>
      <c r="I969" s="1">
        <v>1</v>
      </c>
      <c r="J969"/>
      <c r="K969"/>
      <c r="L969"/>
    </row>
    <row r="970" spans="1:12" x14ac:dyDescent="0.3">
      <c r="A970" s="1">
        <v>5969</v>
      </c>
      <c r="B970" s="3" t="s">
        <v>948</v>
      </c>
      <c r="C970" s="3" t="s">
        <v>70</v>
      </c>
      <c r="D970" s="3" t="s">
        <v>36</v>
      </c>
      <c r="E970" s="1">
        <v>87520</v>
      </c>
      <c r="F970" s="2" t="s">
        <v>1494</v>
      </c>
      <c r="G970" s="3" t="s">
        <v>24</v>
      </c>
      <c r="H970" s="1">
        <v>34</v>
      </c>
      <c r="I970" s="1">
        <v>3</v>
      </c>
      <c r="J970"/>
      <c r="K970"/>
      <c r="L970"/>
    </row>
    <row r="971" spans="1:12" x14ac:dyDescent="0.3">
      <c r="A971" s="1">
        <v>5970</v>
      </c>
      <c r="B971" s="3" t="s">
        <v>1495</v>
      </c>
      <c r="C971" s="3" t="s">
        <v>26</v>
      </c>
      <c r="D971" s="3" t="s">
        <v>30</v>
      </c>
      <c r="E971" s="1">
        <v>118817</v>
      </c>
      <c r="F971" s="2" t="s">
        <v>1496</v>
      </c>
      <c r="G971" s="3" t="s">
        <v>24</v>
      </c>
      <c r="H971" s="1">
        <v>55</v>
      </c>
      <c r="I971" s="1">
        <v>1</v>
      </c>
      <c r="J971"/>
      <c r="K971"/>
      <c r="L971"/>
    </row>
    <row r="972" spans="1:12" x14ac:dyDescent="0.3">
      <c r="A972" s="1">
        <v>5971</v>
      </c>
      <c r="B972" s="3" t="s">
        <v>1497</v>
      </c>
      <c r="C972" s="3" t="s">
        <v>26</v>
      </c>
      <c r="D972" s="3" t="s">
        <v>20</v>
      </c>
      <c r="E972" s="1">
        <v>73335</v>
      </c>
      <c r="F972" s="2" t="s">
        <v>292</v>
      </c>
      <c r="G972" s="3" t="s">
        <v>1534</v>
      </c>
      <c r="H972" s="1">
        <v>43</v>
      </c>
      <c r="I972" s="1">
        <v>4</v>
      </c>
      <c r="J972"/>
      <c r="K972"/>
      <c r="L972"/>
    </row>
    <row r="973" spans="1:12" x14ac:dyDescent="0.3">
      <c r="A973" s="1">
        <v>5972</v>
      </c>
      <c r="B973" s="3" t="s">
        <v>1498</v>
      </c>
      <c r="C973" s="3" t="s">
        <v>15</v>
      </c>
      <c r="D973" s="3" t="s">
        <v>52</v>
      </c>
      <c r="E973" s="1">
        <v>91278</v>
      </c>
      <c r="F973" s="2" t="s">
        <v>1047</v>
      </c>
      <c r="G973" s="3" t="s">
        <v>24</v>
      </c>
      <c r="H973" s="1">
        <v>23</v>
      </c>
      <c r="I973" s="1">
        <v>5</v>
      </c>
      <c r="J973"/>
      <c r="K973"/>
      <c r="L973"/>
    </row>
    <row r="974" spans="1:12" x14ac:dyDescent="0.3">
      <c r="A974" s="1">
        <v>5973</v>
      </c>
      <c r="B974" s="3" t="s">
        <v>1198</v>
      </c>
      <c r="C974" s="3" t="s">
        <v>26</v>
      </c>
      <c r="D974" s="3" t="s">
        <v>87</v>
      </c>
      <c r="E974" s="1">
        <v>48658</v>
      </c>
      <c r="F974" s="2" t="s">
        <v>1499</v>
      </c>
      <c r="G974" s="3" t="s">
        <v>13</v>
      </c>
      <c r="H974" s="1">
        <v>51</v>
      </c>
      <c r="I974" s="1">
        <v>1</v>
      </c>
      <c r="J974"/>
      <c r="K974"/>
      <c r="L974"/>
    </row>
    <row r="975" spans="1:12" x14ac:dyDescent="0.3">
      <c r="A975" s="1">
        <v>5974</v>
      </c>
      <c r="B975" s="3" t="s">
        <v>1500</v>
      </c>
      <c r="C975" s="3" t="s">
        <v>39</v>
      </c>
      <c r="D975" s="3" t="s">
        <v>30</v>
      </c>
      <c r="E975" s="1">
        <v>148521</v>
      </c>
      <c r="F975" s="2" t="s">
        <v>1501</v>
      </c>
      <c r="G975" s="3" t="s">
        <v>24</v>
      </c>
      <c r="H975" s="1">
        <v>48</v>
      </c>
      <c r="I975" s="1">
        <v>2</v>
      </c>
      <c r="J975"/>
      <c r="K975">
        <f>COUNTBLANK(Table2[Salary])</f>
        <v>0</v>
      </c>
      <c r="L975"/>
    </row>
    <row r="976" spans="1:12" x14ac:dyDescent="0.3">
      <c r="A976" s="1">
        <v>5975</v>
      </c>
      <c r="B976" s="3" t="s">
        <v>1502</v>
      </c>
      <c r="C976" s="3" t="s">
        <v>63</v>
      </c>
      <c r="D976" s="3" t="s">
        <v>49</v>
      </c>
      <c r="E976" s="1">
        <v>138358</v>
      </c>
      <c r="F976" s="2" t="s">
        <v>1503</v>
      </c>
      <c r="G976" s="3" t="s">
        <v>24</v>
      </c>
      <c r="H976" s="1">
        <v>24</v>
      </c>
      <c r="I976" s="1">
        <v>1</v>
      </c>
      <c r="J976"/>
      <c r="K976"/>
      <c r="L976"/>
    </row>
    <row r="977" spans="1:12" x14ac:dyDescent="0.3">
      <c r="A977" s="1">
        <v>5976</v>
      </c>
      <c r="B977" s="3" t="s">
        <v>1504</v>
      </c>
      <c r="C977" s="3" t="s">
        <v>70</v>
      </c>
      <c r="D977" s="3" t="s">
        <v>16</v>
      </c>
      <c r="E977" s="1">
        <v>93321</v>
      </c>
      <c r="F977" s="2" t="s">
        <v>1505</v>
      </c>
      <c r="G977" s="3" t="s">
        <v>24</v>
      </c>
      <c r="H977" s="1">
        <v>37</v>
      </c>
      <c r="I977" s="1">
        <v>4</v>
      </c>
      <c r="J977"/>
      <c r="K977"/>
      <c r="L977"/>
    </row>
    <row r="978" spans="1:12" x14ac:dyDescent="0.3">
      <c r="A978" s="1">
        <v>5977</v>
      </c>
      <c r="B978" s="3" t="s">
        <v>1506</v>
      </c>
      <c r="C978" s="3" t="s">
        <v>35</v>
      </c>
      <c r="D978" s="3" t="s">
        <v>20</v>
      </c>
      <c r="E978" s="1">
        <v>56220</v>
      </c>
      <c r="F978" s="2" t="s">
        <v>1507</v>
      </c>
      <c r="G978" s="3" t="s">
        <v>24</v>
      </c>
      <c r="H978" s="1">
        <v>25</v>
      </c>
      <c r="I978" s="1">
        <v>5</v>
      </c>
      <c r="J978"/>
      <c r="K978"/>
      <c r="L978"/>
    </row>
    <row r="979" spans="1:12" x14ac:dyDescent="0.3">
      <c r="A979" s="1">
        <v>5978</v>
      </c>
      <c r="B979" s="3" t="s">
        <v>933</v>
      </c>
      <c r="C979" s="3" t="s">
        <v>35</v>
      </c>
      <c r="D979" s="3" t="s">
        <v>30</v>
      </c>
      <c r="E979" s="1">
        <v>54452</v>
      </c>
      <c r="F979" s="2" t="s">
        <v>1080</v>
      </c>
      <c r="G979" s="3" t="s">
        <v>13</v>
      </c>
      <c r="H979" s="1">
        <v>43</v>
      </c>
      <c r="I979" s="1">
        <v>4</v>
      </c>
      <c r="J979"/>
      <c r="K979"/>
      <c r="L979"/>
    </row>
    <row r="980" spans="1:12" x14ac:dyDescent="0.3">
      <c r="A980" s="1">
        <v>5979</v>
      </c>
      <c r="B980" s="3" t="s">
        <v>1508</v>
      </c>
      <c r="C980" s="3" t="s">
        <v>19</v>
      </c>
      <c r="D980" s="3" t="s">
        <v>49</v>
      </c>
      <c r="E980" s="1">
        <v>118536</v>
      </c>
      <c r="F980" s="2" t="s">
        <v>800</v>
      </c>
      <c r="G980" s="3" t="s">
        <v>24</v>
      </c>
      <c r="H980" s="1">
        <v>29</v>
      </c>
      <c r="I980" s="1">
        <v>5</v>
      </c>
      <c r="J980"/>
      <c r="K980"/>
      <c r="L980"/>
    </row>
    <row r="981" spans="1:12" x14ac:dyDescent="0.3">
      <c r="A981" s="1">
        <v>5980</v>
      </c>
      <c r="B981" s="3" t="s">
        <v>1455</v>
      </c>
      <c r="C981" s="3" t="s">
        <v>15</v>
      </c>
      <c r="D981" s="3" t="s">
        <v>27</v>
      </c>
      <c r="E981" s="1">
        <v>108884</v>
      </c>
      <c r="F981" s="2" t="s">
        <v>1169</v>
      </c>
      <c r="G981" s="3" t="s">
        <v>13</v>
      </c>
      <c r="H981" s="1">
        <v>37</v>
      </c>
      <c r="I981" s="1">
        <v>3</v>
      </c>
      <c r="J981"/>
      <c r="K981"/>
      <c r="L981"/>
    </row>
    <row r="982" spans="1:12" x14ac:dyDescent="0.3">
      <c r="A982" s="1">
        <v>5981</v>
      </c>
      <c r="B982" s="3" t="s">
        <v>1509</v>
      </c>
      <c r="C982" s="3" t="s">
        <v>26</v>
      </c>
      <c r="D982" s="3" t="s">
        <v>30</v>
      </c>
      <c r="E982" s="1">
        <v>80754</v>
      </c>
      <c r="F982" s="2" t="s">
        <v>1510</v>
      </c>
      <c r="G982" s="3" t="s">
        <v>24</v>
      </c>
      <c r="H982" s="1">
        <v>42</v>
      </c>
      <c r="I982" s="1">
        <v>2</v>
      </c>
      <c r="J982"/>
      <c r="K982"/>
      <c r="L982"/>
    </row>
    <row r="983" spans="1:12" x14ac:dyDescent="0.3">
      <c r="A983" s="1">
        <v>5982</v>
      </c>
      <c r="B983" s="3" t="s">
        <v>1056</v>
      </c>
      <c r="C983" s="3" t="s">
        <v>35</v>
      </c>
      <c r="D983" s="3" t="s">
        <v>52</v>
      </c>
      <c r="E983" s="1">
        <v>146117</v>
      </c>
      <c r="F983" s="2" t="s">
        <v>1511</v>
      </c>
      <c r="G983" s="3" t="s">
        <v>13</v>
      </c>
      <c r="H983" s="1">
        <v>50</v>
      </c>
      <c r="I983" s="1">
        <v>2</v>
      </c>
      <c r="J983"/>
      <c r="K983"/>
      <c r="L983"/>
    </row>
    <row r="984" spans="1:12" x14ac:dyDescent="0.3">
      <c r="A984" s="1">
        <v>5983</v>
      </c>
      <c r="B984" s="3" t="s">
        <v>1512</v>
      </c>
      <c r="C984" s="3" t="s">
        <v>39</v>
      </c>
      <c r="D984" s="3" t="s">
        <v>36</v>
      </c>
      <c r="E984" s="1">
        <v>73670</v>
      </c>
      <c r="F984" s="2" t="s">
        <v>1513</v>
      </c>
      <c r="G984" s="3" t="s">
        <v>13</v>
      </c>
      <c r="H984" s="1">
        <v>32</v>
      </c>
      <c r="I984" s="1">
        <v>2</v>
      </c>
      <c r="J984"/>
      <c r="K984"/>
      <c r="L984"/>
    </row>
    <row r="985" spans="1:12" x14ac:dyDescent="0.3">
      <c r="A985" s="1">
        <v>5984</v>
      </c>
      <c r="B985" s="3" t="s">
        <v>1514</v>
      </c>
      <c r="C985" s="3" t="s">
        <v>19</v>
      </c>
      <c r="D985" s="3" t="s">
        <v>16</v>
      </c>
      <c r="E985" s="1">
        <v>38873</v>
      </c>
      <c r="F985" s="2" t="s">
        <v>686</v>
      </c>
      <c r="G985" s="3" t="s">
        <v>13</v>
      </c>
      <c r="H985" s="1">
        <v>27</v>
      </c>
      <c r="I985" s="1">
        <v>4</v>
      </c>
      <c r="J985"/>
      <c r="K985"/>
      <c r="L985"/>
    </row>
    <row r="986" spans="1:12" x14ac:dyDescent="0.3">
      <c r="A986" s="1">
        <v>5985</v>
      </c>
      <c r="B986" s="3" t="s">
        <v>1515</v>
      </c>
      <c r="C986" s="3" t="s">
        <v>70</v>
      </c>
      <c r="D986" s="3" t="s">
        <v>36</v>
      </c>
      <c r="E986" s="1">
        <v>85291</v>
      </c>
      <c r="F986" s="2" t="s">
        <v>1516</v>
      </c>
      <c r="G986" s="3" t="s">
        <v>13</v>
      </c>
      <c r="H986" s="1">
        <v>45</v>
      </c>
      <c r="I986" s="1">
        <v>1</v>
      </c>
      <c r="J986"/>
      <c r="K986"/>
      <c r="L986"/>
    </row>
    <row r="987" spans="1:12" x14ac:dyDescent="0.3">
      <c r="A987" s="1">
        <v>5986</v>
      </c>
      <c r="B987" s="3" t="s">
        <v>1214</v>
      </c>
      <c r="C987" s="3" t="s">
        <v>10</v>
      </c>
      <c r="D987" s="3" t="s">
        <v>30</v>
      </c>
      <c r="E987" s="1">
        <v>87520</v>
      </c>
      <c r="F987" s="2" t="s">
        <v>1517</v>
      </c>
      <c r="G987" s="3" t="s">
        <v>24</v>
      </c>
      <c r="H987" s="1">
        <v>45</v>
      </c>
      <c r="I987" s="1">
        <v>1</v>
      </c>
      <c r="J987"/>
      <c r="K987"/>
      <c r="L987"/>
    </row>
    <row r="988" spans="1:12" x14ac:dyDescent="0.3">
      <c r="A988" s="1">
        <v>5987</v>
      </c>
      <c r="B988" s="3" t="s">
        <v>1518</v>
      </c>
      <c r="C988" s="3" t="s">
        <v>44</v>
      </c>
      <c r="D988" s="3" t="s">
        <v>61</v>
      </c>
      <c r="E988" s="1">
        <v>117194</v>
      </c>
      <c r="F988" s="2" t="s">
        <v>1519</v>
      </c>
      <c r="G988" s="3" t="s">
        <v>13</v>
      </c>
      <c r="H988" s="1">
        <v>41</v>
      </c>
      <c r="I988" s="1">
        <v>2</v>
      </c>
      <c r="J988"/>
      <c r="K988"/>
      <c r="L988"/>
    </row>
    <row r="989" spans="1:12" x14ac:dyDescent="0.3">
      <c r="A989" s="1">
        <v>5988</v>
      </c>
      <c r="B989" s="3" t="s">
        <v>1520</v>
      </c>
      <c r="C989" s="3" t="s">
        <v>79</v>
      </c>
      <c r="D989" s="3" t="s">
        <v>20</v>
      </c>
      <c r="E989" s="1">
        <v>87520</v>
      </c>
      <c r="F989" s="2" t="s">
        <v>357</v>
      </c>
      <c r="G989" s="3" t="s">
        <v>24</v>
      </c>
      <c r="H989" s="1">
        <v>43</v>
      </c>
      <c r="I989" s="1">
        <v>5</v>
      </c>
      <c r="J989"/>
      <c r="K989"/>
      <c r="L989"/>
    </row>
    <row r="990" spans="1:12" x14ac:dyDescent="0.3">
      <c r="A990" s="1">
        <v>5989</v>
      </c>
      <c r="B990" s="3" t="s">
        <v>1521</v>
      </c>
      <c r="C990" s="3" t="s">
        <v>39</v>
      </c>
      <c r="D990" s="3" t="s">
        <v>61</v>
      </c>
      <c r="E990" s="1">
        <v>67752</v>
      </c>
      <c r="F990" s="2" t="s">
        <v>1522</v>
      </c>
      <c r="G990" s="3" t="s">
        <v>24</v>
      </c>
      <c r="H990" s="1">
        <v>50</v>
      </c>
      <c r="I990" s="1">
        <v>2</v>
      </c>
      <c r="J990"/>
      <c r="K990"/>
      <c r="L990"/>
    </row>
    <row r="991" spans="1:12" x14ac:dyDescent="0.3">
      <c r="A991" s="1">
        <v>5990</v>
      </c>
      <c r="B991" s="3" t="s">
        <v>1363</v>
      </c>
      <c r="C991" s="3" t="s">
        <v>26</v>
      </c>
      <c r="D991" s="3" t="s">
        <v>16</v>
      </c>
      <c r="E991" s="1">
        <v>99437</v>
      </c>
      <c r="F991" s="2" t="s">
        <v>678</v>
      </c>
      <c r="G991" s="3" t="s">
        <v>13</v>
      </c>
      <c r="H991" s="1">
        <v>37</v>
      </c>
      <c r="I991" s="1">
        <v>4</v>
      </c>
      <c r="J991"/>
      <c r="K991"/>
      <c r="L991"/>
    </row>
    <row r="992" spans="1:12" x14ac:dyDescent="0.3">
      <c r="A992" s="1">
        <v>5991</v>
      </c>
      <c r="B992" s="3" t="s">
        <v>1523</v>
      </c>
      <c r="C992" s="3" t="s">
        <v>79</v>
      </c>
      <c r="D992" s="3" t="s">
        <v>49</v>
      </c>
      <c r="E992" s="1">
        <v>96565</v>
      </c>
      <c r="F992" s="2" t="s">
        <v>1524</v>
      </c>
      <c r="G992" s="3" t="s">
        <v>24</v>
      </c>
      <c r="H992" s="1">
        <v>27</v>
      </c>
      <c r="I992" s="1">
        <v>2</v>
      </c>
      <c r="J992"/>
      <c r="K992"/>
      <c r="L992"/>
    </row>
    <row r="993" spans="1:12" x14ac:dyDescent="0.3">
      <c r="A993" s="1">
        <v>5992</v>
      </c>
      <c r="B993" s="3" t="s">
        <v>1525</v>
      </c>
      <c r="C993" s="3" t="s">
        <v>19</v>
      </c>
      <c r="D993" s="3" t="s">
        <v>36</v>
      </c>
      <c r="E993" s="1">
        <v>89079</v>
      </c>
      <c r="F993" s="2" t="s">
        <v>339</v>
      </c>
      <c r="G993" s="3" t="s">
        <v>13</v>
      </c>
      <c r="H993" s="1">
        <v>26</v>
      </c>
      <c r="I993" s="1">
        <v>4</v>
      </c>
      <c r="J993"/>
      <c r="K993"/>
      <c r="L993"/>
    </row>
    <row r="994" spans="1:12" x14ac:dyDescent="0.3">
      <c r="A994" s="1">
        <v>5993</v>
      </c>
      <c r="B994" s="3" t="s">
        <v>118</v>
      </c>
      <c r="C994" s="3" t="s">
        <v>70</v>
      </c>
      <c r="D994" s="3" t="s">
        <v>27</v>
      </c>
      <c r="E994" s="1">
        <v>46624</v>
      </c>
      <c r="F994" s="2" t="s">
        <v>135</v>
      </c>
      <c r="G994" s="3" t="s">
        <v>24</v>
      </c>
      <c r="H994" s="1">
        <v>47</v>
      </c>
      <c r="I994" s="1">
        <v>2</v>
      </c>
      <c r="J994"/>
      <c r="K994"/>
      <c r="L994"/>
    </row>
    <row r="995" spans="1:12" x14ac:dyDescent="0.3">
      <c r="A995" s="1">
        <v>5994</v>
      </c>
      <c r="B995" s="3" t="s">
        <v>803</v>
      </c>
      <c r="C995" s="3" t="s">
        <v>10</v>
      </c>
      <c r="D995" s="3" t="s">
        <v>49</v>
      </c>
      <c r="E995" s="1">
        <v>74206</v>
      </c>
      <c r="F995" s="2" t="s">
        <v>1526</v>
      </c>
      <c r="G995" s="3" t="s">
        <v>13</v>
      </c>
      <c r="H995" s="1">
        <v>50</v>
      </c>
      <c r="I995" s="1">
        <v>1</v>
      </c>
      <c r="J995"/>
      <c r="K995"/>
      <c r="L995"/>
    </row>
    <row r="996" spans="1:12" x14ac:dyDescent="0.3">
      <c r="A996" s="1">
        <v>5995</v>
      </c>
      <c r="B996" s="3" t="s">
        <v>712</v>
      </c>
      <c r="C996" s="3" t="s">
        <v>44</v>
      </c>
      <c r="D996" s="3" t="s">
        <v>52</v>
      </c>
      <c r="E996" s="1">
        <v>109353</v>
      </c>
      <c r="F996" s="2" t="s">
        <v>1527</v>
      </c>
      <c r="G996" s="3" t="s">
        <v>24</v>
      </c>
      <c r="H996" s="1">
        <v>31</v>
      </c>
      <c r="I996" s="1">
        <v>2</v>
      </c>
      <c r="J996"/>
      <c r="K996"/>
      <c r="L996"/>
    </row>
    <row r="997" spans="1:12" x14ac:dyDescent="0.3">
      <c r="A997" s="1">
        <v>5996</v>
      </c>
      <c r="B997" s="3" t="s">
        <v>1123</v>
      </c>
      <c r="C997" s="3" t="s">
        <v>10</v>
      </c>
      <c r="D997" s="3" t="s">
        <v>87</v>
      </c>
      <c r="E997" s="1">
        <v>83122</v>
      </c>
      <c r="F997" s="2" t="s">
        <v>1528</v>
      </c>
      <c r="G997" s="3" t="s">
        <v>24</v>
      </c>
      <c r="H997" s="1">
        <v>32</v>
      </c>
      <c r="I997" s="1">
        <v>1</v>
      </c>
      <c r="J997"/>
      <c r="K997"/>
      <c r="L997"/>
    </row>
    <row r="998" spans="1:12" x14ac:dyDescent="0.3">
      <c r="A998" s="1">
        <v>5997</v>
      </c>
      <c r="B998" s="3" t="s">
        <v>532</v>
      </c>
      <c r="C998" s="3" t="s">
        <v>70</v>
      </c>
      <c r="D998" s="3" t="s">
        <v>16</v>
      </c>
      <c r="E998" s="1">
        <v>144863</v>
      </c>
      <c r="F998" s="2" t="s">
        <v>1529</v>
      </c>
      <c r="G998" s="3" t="s">
        <v>13</v>
      </c>
      <c r="H998" s="1">
        <v>43</v>
      </c>
      <c r="I998" s="1">
        <v>4</v>
      </c>
      <c r="J998"/>
      <c r="K998"/>
      <c r="L998"/>
    </row>
    <row r="999" spans="1:12" x14ac:dyDescent="0.3">
      <c r="A999" s="1">
        <v>5998</v>
      </c>
      <c r="B999" s="3" t="s">
        <v>991</v>
      </c>
      <c r="C999" s="3" t="s">
        <v>44</v>
      </c>
      <c r="D999" s="3" t="s">
        <v>52</v>
      </c>
      <c r="E999" s="1">
        <v>37530</v>
      </c>
      <c r="F999" s="2" t="s">
        <v>1530</v>
      </c>
      <c r="G999" s="3" t="s">
        <v>13</v>
      </c>
      <c r="H999" s="1">
        <v>47</v>
      </c>
      <c r="I999" s="1">
        <v>5</v>
      </c>
      <c r="J999"/>
      <c r="K999"/>
      <c r="L999"/>
    </row>
    <row r="1000" spans="1:12" x14ac:dyDescent="0.3">
      <c r="A1000" s="1">
        <v>5999</v>
      </c>
      <c r="B1000" s="3" t="s">
        <v>1324</v>
      </c>
      <c r="C1000" s="3" t="s">
        <v>15</v>
      </c>
      <c r="D1000" s="3" t="s">
        <v>11</v>
      </c>
      <c r="E1000" s="1">
        <v>68870</v>
      </c>
      <c r="F1000" s="2" t="s">
        <v>1531</v>
      </c>
      <c r="G1000" s="3" t="s">
        <v>13</v>
      </c>
      <c r="H1000" s="1">
        <v>24</v>
      </c>
      <c r="I1000" s="1">
        <v>5</v>
      </c>
      <c r="J1000"/>
      <c r="K1000"/>
      <c r="L1000"/>
    </row>
    <row r="1001" spans="1:12" x14ac:dyDescent="0.3">
      <c r="A1001" s="1">
        <v>6000</v>
      </c>
      <c r="B1001" s="3" t="s">
        <v>1532</v>
      </c>
      <c r="C1001" s="3" t="s">
        <v>70</v>
      </c>
      <c r="D1001" s="3" t="s">
        <v>61</v>
      </c>
      <c r="E1001" s="1">
        <v>98240</v>
      </c>
      <c r="F1001" s="2" t="s">
        <v>1533</v>
      </c>
      <c r="G1001" s="3" t="s">
        <v>13</v>
      </c>
      <c r="H1001" s="1">
        <v>32</v>
      </c>
      <c r="I1001" s="1">
        <v>4</v>
      </c>
      <c r="J1001"/>
      <c r="K1001"/>
      <c r="L1001"/>
    </row>
  </sheetData>
  <conditionalFormatting sqref="E2:E1001">
    <cfRule type="cellIs" dxfId="1" priority="1" operator="greaterThan">
      <formula>216387.8</formula>
    </cfRule>
    <cfRule type="cellIs" dxfId="0" priority="2" operator="lessThan">
      <formula>-41230</formula>
    </cfRule>
  </conditionalFormatting>
  <dataValidations count="1">
    <dataValidation type="list" allowBlank="1" showInputMessage="1" showErrorMessage="1" error="Invalid" prompt="Text" sqref="G2:G1001" xr:uid="{35B1DE7C-B4F3-4E17-B8B1-82D37B301550}">
      <formula1>"M,F"</formula1>
    </dataValidation>
  </dataValidations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Employee_Dataset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2026-04-13T06:41:59Z</dcterms:created>
  <dcterms:modified xsi:type="dcterms:W3CDTF">2026-04-13T09:27:25Z</dcterms:modified>
</cp:coreProperties>
</file>